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slicers/slicer4.xml" ContentType="application/vnd.ms-excel.slicer+xml"/>
  <Override PartName="/xl/timelines/timeline4.xml" ContentType="application/vnd.ms-excel.timelin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xml" ContentType="application/vnd.openxmlformats-officedocument.drawing+xml"/>
  <Override PartName="/xl/slicers/slicer5.xml" ContentType="application/vnd.ms-excel.slicer+xml"/>
  <Override PartName="/xl/timelines/timeline5.xml" ContentType="application/vnd.ms-excel.timelin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854F180C-4B4E-4F96-96A2-B4F2AA1D29FC}" xr6:coauthVersionLast="47" xr6:coauthVersionMax="47" xr10:uidLastSave="{00000000-0000-0000-0000-000000000000}"/>
  <bookViews>
    <workbookView xWindow="-108" yWindow="-108" windowWidth="23256" windowHeight="12456" firstSheet="4" activeTab="4" xr2:uid="{4B432847-D886-46E5-B15A-16882E6FE4B8}"/>
  </bookViews>
  <sheets>
    <sheet name="Trichy" sheetId="5" state="hidden" r:id="rId1"/>
    <sheet name="Madurai" sheetId="4" state="hidden" r:id="rId2"/>
    <sheet name="Chennai" sheetId="3" state="hidden" r:id="rId3"/>
    <sheet name="Coimbatore" sheetId="2" state="hidden" r:id="rId4"/>
    <sheet name="Weather" sheetId="6" r:id="rId5"/>
    <sheet name="Data Preparation" sheetId="7" state="hidden" r:id="rId6"/>
    <sheet name="DPCni" sheetId="14" state="hidden" r:id="rId7"/>
    <sheet name="DPCbe" sheetId="15" state="hidden" r:id="rId8"/>
    <sheet name="DPMdi" sheetId="16" state="hidden" r:id="rId9"/>
    <sheet name="DPTri" sheetId="17" state="hidden" r:id="rId10"/>
    <sheet name="Dashboard" sheetId="12" r:id="rId11"/>
    <sheet name="Dbcni" sheetId="18" r:id="rId12"/>
    <sheet name="Dbcbe" sheetId="20" r:id="rId13"/>
    <sheet name="Dbmdi" sheetId="21" r:id="rId14"/>
    <sheet name="Dbtri" sheetId="22" r:id="rId15"/>
  </sheets>
  <definedNames>
    <definedName name="ExternalData_1" localSheetId="3" hidden="1">'Coimbatore'!$A$1:$Q$16</definedName>
    <definedName name="ExternalData_2" localSheetId="2" hidden="1">'Chennai'!$A$1:$Q$16</definedName>
    <definedName name="ExternalData_2" localSheetId="4" hidden="1">Weather!$A$1:$Q$61</definedName>
    <definedName name="ExternalData_3" localSheetId="1" hidden="1">Madurai!$A$1:$Q$16</definedName>
    <definedName name="ExternalData_4" localSheetId="0" hidden="1">Trichy!$A$1:$Q$16</definedName>
    <definedName name="NativeTimeline_Date">#N/A</definedName>
    <definedName name="Slicer_Date">#N/A</definedName>
  </definedNames>
  <calcPr calcId="191029"/>
  <pivotCaches>
    <pivotCache cacheId="42"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5" i="14" l="1"/>
  <c r="O26" i="14" s="1"/>
  <c r="O25" i="15"/>
  <c r="O26" i="15" s="1"/>
  <c r="D26" i="7"/>
  <c r="D27" i="7"/>
  <c r="D28" i="7"/>
  <c r="D29" i="7"/>
  <c r="D30" i="7"/>
  <c r="D31" i="7"/>
  <c r="D32" i="7"/>
  <c r="D33" i="7"/>
  <c r="D34" i="7"/>
  <c r="D35" i="7"/>
  <c r="D36" i="7"/>
  <c r="D37" i="7"/>
  <c r="D38" i="7"/>
  <c r="D39" i="7"/>
  <c r="D25" i="7"/>
  <c r="O27" i="17"/>
  <c r="N27" i="17"/>
  <c r="G26" i="17"/>
  <c r="O25" i="17"/>
  <c r="O26" i="17" s="1"/>
  <c r="N25" i="17"/>
  <c r="N26" i="17" s="1"/>
  <c r="H24" i="17"/>
  <c r="H25" i="17" s="1"/>
  <c r="G24" i="17"/>
  <c r="G25" i="17" s="1"/>
  <c r="O27" i="16"/>
  <c r="N27" i="16"/>
  <c r="G26" i="16"/>
  <c r="O25" i="16"/>
  <c r="O26" i="16" s="1"/>
  <c r="N25" i="16"/>
  <c r="N26" i="16" s="1"/>
  <c r="H24" i="16"/>
  <c r="H25" i="16" s="1"/>
  <c r="G24" i="16"/>
  <c r="G25" i="16" s="1"/>
  <c r="O27" i="15"/>
  <c r="N27" i="15"/>
  <c r="G26" i="15"/>
  <c r="N25" i="15"/>
  <c r="N26" i="15" s="1"/>
  <c r="H24" i="15"/>
  <c r="H25" i="15" s="1"/>
  <c r="G24" i="15"/>
  <c r="G25" i="15" s="1"/>
  <c r="N27" i="14"/>
  <c r="G26" i="14"/>
  <c r="N25" i="14"/>
  <c r="N26" i="14" s="1"/>
  <c r="H24" i="14"/>
  <c r="H25" i="14" s="1"/>
  <c r="G24" i="14"/>
  <c r="G25" i="14" s="1"/>
  <c r="O27" i="7"/>
  <c r="O25" i="7"/>
  <c r="O26" i="7" s="1"/>
  <c r="N25" i="7"/>
  <c r="N26" i="7" s="1"/>
  <c r="N27" i="7"/>
  <c r="H24" i="7"/>
  <c r="G24" i="7"/>
  <c r="G26" i="7"/>
  <c r="G25" i="7" l="1"/>
  <c r="H2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DB4E1-6AC0-4599-97F9-85D392DC8774}" keepAlive="1" name="Query - Chennai" description="Connection to the 'Chennai' query in the workbook." type="5" refreshedVersion="8" background="1" saveData="1">
    <dbPr connection="Provider=Microsoft.Mashup.OleDb.1;Data Source=$Workbook$;Location=Chennai;Extended Properties=&quot;&quot;" command="SELECT * FROM [Chennai]"/>
  </connection>
  <connection id="2" xr16:uid="{833A8F7E-F15A-4129-8588-FF3CB5E608DB}" keepAlive="1" name="Query - Coimbatore" description="Connection to the 'Coimbatore' query in the workbook." type="5" refreshedVersion="8" background="1" saveData="1">
    <dbPr connection="Provider=Microsoft.Mashup.OleDb.1;Data Source=$Workbook$;Location=Coimbatore;Extended Properties=&quot;&quot;" command="SELECT * FROM [Coimbatore]"/>
  </connection>
  <connection id="3" xr16:uid="{B55697AF-F1D6-4AFF-8C90-0B31D4EB3D51}" keepAlive="1" name="Query - Madurai" description="Connection to the 'Madurai' query in the workbook." type="5" refreshedVersion="8" background="1" saveData="1">
    <dbPr connection="Provider=Microsoft.Mashup.OleDb.1;Data Source=$Workbook$;Location=Madurai;Extended Properties=&quot;&quot;" command="SELECT * FROM [Madurai]"/>
  </connection>
  <connection id="4" xr16:uid="{08E29C8E-04D9-44E4-8D76-84D093143CF5}" keepAlive="1" name="Query - Trichy" description="Connection to the 'Trichy' query in the workbook." type="5" refreshedVersion="8" background="1" saveData="1">
    <dbPr connection="Provider=Microsoft.Mashup.OleDb.1;Data Source=$Workbook$;Location=Trichy;Extended Properties=&quot;&quot;" command="SELECT * FROM [Trichy]"/>
  </connection>
  <connection id="5" xr16:uid="{BA168199-C3CA-4E3F-9644-538A10EB6278}" keepAlive="1" name="Query - Weather" description="Connection to the 'Weather' query in the workbook." type="5" refreshedVersion="8" background="1" saveData="1">
    <dbPr connection="Provider=Microsoft.Mashup.OleDb.1;Data Source=$Workbook$;Location=Weather;Extended Properties=&quot;&quot;" command="SELECT * FROM [Weather]"/>
  </connection>
</connections>
</file>

<file path=xl/sharedStrings.xml><?xml version="1.0" encoding="utf-8"?>
<sst xmlns="http://schemas.openxmlformats.org/spreadsheetml/2006/main" count="725" uniqueCount="56">
  <si>
    <t>Date</t>
  </si>
  <si>
    <t>Temp Max</t>
  </si>
  <si>
    <t>Temp Min</t>
  </si>
  <si>
    <t>Temp</t>
  </si>
  <si>
    <t>Humidity</t>
  </si>
  <si>
    <t>Precip</t>
  </si>
  <si>
    <t>Precip Prob</t>
  </si>
  <si>
    <t>Wind Gust</t>
  </si>
  <si>
    <t>Wind Speed</t>
  </si>
  <si>
    <t>Cloud Cover</t>
  </si>
  <si>
    <t>UV Index</t>
  </si>
  <si>
    <t>Sunrise</t>
  </si>
  <si>
    <t>Sunset</t>
  </si>
  <si>
    <t>Conditions</t>
  </si>
  <si>
    <t>Description</t>
  </si>
  <si>
    <t>Icon</t>
  </si>
  <si>
    <t>Rain, Partially cloudy</t>
  </si>
  <si>
    <t>rain</t>
  </si>
  <si>
    <t>Clear</t>
  </si>
  <si>
    <t>Clear conditions throughout the day.</t>
  </si>
  <si>
    <t>clear-day</t>
  </si>
  <si>
    <t>Partially cloudy</t>
  </si>
  <si>
    <t>partly-cloudy-day</t>
  </si>
  <si>
    <t>Partly cloudy throughout the day.</t>
  </si>
  <si>
    <t>Overcast</t>
  </si>
  <si>
    <t>Cloudy skies throughout the day.</t>
  </si>
  <si>
    <t>cloudy</t>
  </si>
  <si>
    <t>Rain, Overcast</t>
  </si>
  <si>
    <t>Partly cloudy throughout the day with a chance of rain.</t>
  </si>
  <si>
    <t>Cloudy skies throughout the day with storms possible.</t>
  </si>
  <si>
    <t>Partly cloudy throughout the day with storms possible.</t>
  </si>
  <si>
    <t>City</t>
  </si>
  <si>
    <t>Coimbatore</t>
  </si>
  <si>
    <t>Chennai</t>
  </si>
  <si>
    <t>Madurai</t>
  </si>
  <si>
    <t>Trichy</t>
  </si>
  <si>
    <t>Temp-Min</t>
  </si>
  <si>
    <t>Temp-Max</t>
  </si>
  <si>
    <t>Temperature</t>
  </si>
  <si>
    <t>UV-Index</t>
  </si>
  <si>
    <t>Wind-Speed</t>
  </si>
  <si>
    <t>Humid</t>
  </si>
  <si>
    <t>Precipitation</t>
  </si>
  <si>
    <t>Precip-Prob</t>
  </si>
  <si>
    <t>Sun-set</t>
  </si>
  <si>
    <t>Sun-rise</t>
  </si>
  <si>
    <t>Partly cloudy throughout the day with early morning rain.</t>
  </si>
  <si>
    <t>Partly cloudy throughout the day with a chance of rain throughout the day.</t>
  </si>
  <si>
    <t>Day</t>
  </si>
  <si>
    <t>Cloud-Cover</t>
  </si>
  <si>
    <t>Cloudy skies throughout the day with early morning rain.</t>
  </si>
  <si>
    <t>Partly cloudy throughout the day with late afternoon rain.</t>
  </si>
  <si>
    <t>Clearing in the afternoon with storms possible.</t>
  </si>
  <si>
    <t>Partly cloudy throughout the day with rain clearing later.</t>
  </si>
  <si>
    <t>Becoming cloudy in the afternoon.</t>
  </si>
  <si>
    <t>Partly cloudy throughout the day with rain in the morning and afternoon.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</si>
</sst>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1" x14ac:knownFonts="1">
    <font>
      <sz val="11"/>
      <color theme="1"/>
      <name val="Calibri"/>
      <family val="2"/>
      <scheme val="minor"/>
    </font>
  </fonts>
  <fills count="3">
    <fill>
      <patternFill patternType="none"/>
    </fill>
    <fill>
      <patternFill patternType="gray125"/>
    </fill>
    <fill>
      <patternFill patternType="solid">
        <fgColor rgb="FFF6F8FB"/>
        <bgColor indexed="64"/>
      </patternFill>
    </fill>
  </fills>
  <borders count="8">
    <border>
      <left/>
      <right/>
      <top/>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rgb="FFABABAB"/>
      </left>
      <right style="thin">
        <color rgb="FFABABAB"/>
      </right>
      <top style="thin">
        <color rgb="FFABABAB"/>
      </top>
      <bottom style="thin">
        <color rgb="FFABABAB"/>
      </bottom>
      <diagonal/>
    </border>
    <border>
      <left style="thin">
        <color rgb="FFABABAB"/>
      </left>
      <right style="thin">
        <color rgb="FFABABAB"/>
      </right>
      <top style="thin">
        <color indexed="65"/>
      </top>
      <bottom style="thin">
        <color rgb="FFABABAB"/>
      </bottom>
      <diagonal/>
    </border>
  </borders>
  <cellStyleXfs count="1">
    <xf numFmtId="0" fontId="0" fillId="0" borderId="0"/>
  </cellStyleXfs>
  <cellXfs count="19">
    <xf numFmtId="0" fontId="0" fillId="0" borderId="0" xfId="0"/>
    <xf numFmtId="14" fontId="0" fillId="0" borderId="0" xfId="0" applyNumberFormat="1"/>
    <xf numFmtId="164" fontId="0" fillId="0" borderId="0" xfId="0" applyNumberFormat="1"/>
    <xf numFmtId="0" fontId="0" fillId="0" borderId="0" xfId="0" pivotButton="1"/>
    <xf numFmtId="14" fontId="0" fillId="0" borderId="0" xfId="0" applyNumberFormat="1" applyAlignment="1">
      <alignment horizontal="left"/>
    </xf>
    <xf numFmtId="165" fontId="0" fillId="0" borderId="0" xfId="0" applyNumberFormat="1"/>
    <xf numFmtId="1" fontId="0" fillId="0" borderId="0" xfId="0" applyNumberFormat="1"/>
    <xf numFmtId="2" fontId="0" fillId="0" borderId="0" xfId="0" applyNumberFormat="1"/>
    <xf numFmtId="0" fontId="0" fillId="2" borderId="0" xfId="0" applyFill="1"/>
    <xf numFmtId="0" fontId="0" fillId="0" borderId="1" xfId="0" pivotButton="1" applyBorder="1"/>
    <xf numFmtId="0" fontId="0" fillId="0" borderId="4" xfId="0" applyBorder="1"/>
    <xf numFmtId="14" fontId="0" fillId="0" borderId="1" xfId="0" applyNumberFormat="1" applyBorder="1" applyAlignment="1">
      <alignment horizontal="left"/>
    </xf>
    <xf numFmtId="14" fontId="0" fillId="0" borderId="2" xfId="0" applyNumberFormat="1" applyBorder="1" applyAlignment="1">
      <alignment horizontal="left"/>
    </xf>
    <xf numFmtId="14" fontId="0" fillId="0" borderId="3" xfId="0" applyNumberFormat="1" applyBorder="1" applyAlignment="1">
      <alignment horizontal="left"/>
    </xf>
    <xf numFmtId="165" fontId="0" fillId="0" borderId="4" xfId="0" applyNumberFormat="1" applyBorder="1"/>
    <xf numFmtId="165" fontId="0" fillId="0" borderId="5" xfId="0" applyNumberFormat="1" applyBorder="1"/>
    <xf numFmtId="165" fontId="0" fillId="0" borderId="7" xfId="0" applyNumberFormat="1" applyBorder="1"/>
    <xf numFmtId="0" fontId="0" fillId="0" borderId="6" xfId="0" pivotButton="1" applyBorder="1"/>
    <xf numFmtId="0" fontId="0" fillId="0" borderId="6" xfId="0" applyBorder="1"/>
  </cellXfs>
  <cellStyles count="1">
    <cellStyle name="Normal" xfId="0" builtinId="0"/>
  </cellStyles>
  <dxfs count="79">
    <dxf>
      <numFmt numFmtId="164" formatCode="[$-F400]h:mm:ss\ AM/PM"/>
    </dxf>
    <dxf>
      <numFmt numFmtId="164" formatCode="[$-F400]h:mm:ss\ AM/PM"/>
    </dxf>
    <dxf>
      <numFmt numFmtId="19" formatCode="dd/mm/yyyy"/>
    </dxf>
    <dxf>
      <numFmt numFmtId="164" formatCode="[$-F400]h:mm:ss\ AM/PM"/>
    </dxf>
    <dxf>
      <numFmt numFmtId="164" formatCode="[$-F400]h:mm:ss\ AM/PM"/>
    </dxf>
    <dxf>
      <numFmt numFmtId="19" formatCode="dd/mm/yyyy"/>
    </dxf>
    <dxf>
      <numFmt numFmtId="164" formatCode="[$-F400]h:mm:ss\ AM/PM"/>
    </dxf>
    <dxf>
      <numFmt numFmtId="164" formatCode="[$-F400]h:mm:ss\ AM/PM"/>
    </dxf>
    <dxf>
      <numFmt numFmtId="19" formatCode="dd/mm/yyyy"/>
    </dxf>
    <dxf>
      <numFmt numFmtId="164" formatCode="[$-F400]h:mm:ss\ AM/PM"/>
    </dxf>
    <dxf>
      <numFmt numFmtId="164" formatCode="[$-F400]h:mm:ss\ AM/PM"/>
    </dxf>
    <dxf>
      <numFmt numFmtId="19" formatCode="dd/mm/yyyy"/>
    </dxf>
    <dxf>
      <numFmt numFmtId="164" formatCode="[$-F400]h:mm:ss\ AM/PM"/>
    </dxf>
    <dxf>
      <numFmt numFmtId="164" formatCode="[$-F400]h:mm:ss\ AM/PM"/>
    </dxf>
    <dxf>
      <numFmt numFmtId="19" formatCode="dd/mm/yyyy"/>
    </dxf>
    <dxf>
      <numFmt numFmtId="165" formatCode="0.0"/>
    </dxf>
    <dxf>
      <numFmt numFmtId="164" formatCode="[$-F400]h:mm:ss\ AM/PM"/>
    </dxf>
    <dxf>
      <numFmt numFmtId="165" formatCode="0.0"/>
    </dxf>
    <dxf>
      <numFmt numFmtId="165" formatCode="0.0"/>
    </dxf>
    <dxf>
      <numFmt numFmtId="165" formatCode="0.0"/>
    </dxf>
    <dxf>
      <numFmt numFmtId="165" formatCode="0.0"/>
    </dxf>
    <dxf>
      <numFmt numFmtId="1" formatCode="0"/>
    </dxf>
    <dxf>
      <numFmt numFmtId="165" formatCode="0.0"/>
    </dxf>
    <dxf>
      <numFmt numFmtId="165" formatCode="0.0"/>
    </dxf>
    <dxf>
      <numFmt numFmtId="165" formatCode="0.0"/>
    </dxf>
    <dxf>
      <numFmt numFmtId="164" formatCode="[$-F400]h:mm:ss\ AM/PM"/>
    </dxf>
    <dxf>
      <numFmt numFmtId="165" formatCode="0.0"/>
    </dxf>
    <dxf>
      <numFmt numFmtId="1" formatCode="0"/>
    </dxf>
    <dxf>
      <numFmt numFmtId="165" formatCode="0.0"/>
    </dxf>
    <dxf>
      <numFmt numFmtId="165" formatCode="0.0"/>
    </dxf>
    <dxf>
      <numFmt numFmtId="165" formatCode="0.0"/>
    </dxf>
    <dxf>
      <numFmt numFmtId="165" formatCode="0.0"/>
    </dxf>
    <dxf>
      <numFmt numFmtId="164" formatCode="[$-F400]h:mm:ss\ AM/PM"/>
    </dxf>
    <dxf>
      <numFmt numFmtId="165" formatCode="0.0"/>
    </dxf>
    <dxf>
      <numFmt numFmtId="165" formatCode="0.0"/>
    </dxf>
    <dxf>
      <numFmt numFmtId="165" formatCode="0.0"/>
    </dxf>
    <dxf>
      <numFmt numFmtId="165" formatCode="0.0"/>
    </dxf>
    <dxf>
      <numFmt numFmtId="1" formatCode="0"/>
    </dxf>
    <dxf>
      <numFmt numFmtId="165" formatCode="0.0"/>
    </dxf>
    <dxf>
      <numFmt numFmtId="165" formatCode="0.0"/>
    </dxf>
    <dxf>
      <numFmt numFmtId="165" formatCode="0.0"/>
    </dxf>
    <dxf>
      <numFmt numFmtId="164" formatCode="[$-F400]h:mm:ss\ AM/PM"/>
    </dxf>
    <dxf>
      <numFmt numFmtId="165" formatCode="0.0"/>
    </dxf>
    <dxf>
      <numFmt numFmtId="1" formatCode="0"/>
    </dxf>
    <dxf>
      <numFmt numFmtId="165" formatCode="0.0"/>
    </dxf>
    <dxf>
      <numFmt numFmtId="165" formatCode="0.0"/>
    </dxf>
    <dxf>
      <numFmt numFmtId="165" formatCode="0.0"/>
    </dxf>
    <dxf>
      <numFmt numFmtId="165" formatCode="0.0"/>
    </dxf>
    <dxf>
      <numFmt numFmtId="164" formatCode="[$-F400]h:mm:ss\ AM/PM"/>
    </dxf>
    <dxf>
      <numFmt numFmtId="165" formatCode="0.0"/>
    </dxf>
    <dxf>
      <numFmt numFmtId="165" formatCode="0.0"/>
    </dxf>
    <dxf>
      <numFmt numFmtId="165" formatCode="0.0"/>
    </dxf>
    <dxf>
      <numFmt numFmtId="165" formatCode="0.0"/>
    </dxf>
    <dxf>
      <numFmt numFmtId="1" formatCode="0"/>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z val="11"/>
        <color theme="1"/>
      </font>
      <border>
        <vertical/>
        <horizontal/>
      </border>
    </dxf>
    <dxf>
      <font>
        <color theme="1"/>
      </font>
      <fill>
        <patternFill patternType="none">
          <bgColor auto="1"/>
        </patternFill>
      </fill>
      <border diagonalUp="0" diagonalDown="0">
        <left/>
        <right/>
        <top/>
        <bottom/>
        <vertical/>
        <horizontal/>
      </border>
    </dxf>
    <dxf>
      <fill>
        <patternFill>
          <bgColor rgb="FFE6EEF5"/>
        </patternFill>
      </fill>
    </dxf>
    <dxf>
      <fill>
        <patternFill patternType="solid">
          <fgColor auto="1"/>
          <bgColor rgb="FFFFFFFF"/>
        </patternFill>
      </fill>
    </dxf>
  </dxfs>
  <tableStyles count="3" defaultTableStyle="TableStyleMedium2" defaultPivotStyle="PivotStyleLight16">
    <tableStyle name="Slicer Style 1" pivot="0" table="0" count="3" xr9:uid="{6DE71B6F-8BB3-40B3-9C28-9CC082DE44CA}">
      <tableStyleElement type="wholeTable" dxfId="78"/>
    </tableStyle>
    <tableStyle name="tnslicer" pivot="0" table="0" count="3" xr9:uid="{720179ED-4499-45C3-A3B7-9B2F45016C20}">
      <tableStyleElement type="wholeTable" dxfId="77"/>
    </tableStyle>
    <tableStyle name="Weather" pivot="0" table="0" count="5" xr9:uid="{731F9529-4CDF-4C8B-9CC7-906A3E282832}">
      <tableStyleElement type="wholeTable" dxfId="76"/>
      <tableStyleElement type="headerRow" dxfId="75"/>
    </tableStyle>
  </tableStyles>
  <colors>
    <mruColors>
      <color rgb="FFF0F0F0"/>
      <color rgb="FF0078D4"/>
      <color rgb="FF6A89A0"/>
      <color rgb="FF4F6D7A"/>
      <color rgb="FF2E4557"/>
      <color rgb="FFF4F7FA"/>
      <color rgb="FF1D2B38"/>
      <color rgb="FFFFA726"/>
      <color rgb="FFFFE082"/>
      <color rgb="FF80CBC4"/>
    </mruColors>
  </colors>
  <extLst>
    <ext xmlns:x14="http://schemas.microsoft.com/office/spreadsheetml/2009/9/main" uri="{46F421CA-312F-682f-3DD2-61675219B42D}">
      <x14:dxfs count="4">
        <dxf>
          <font>
            <color rgb="FF566674"/>
          </font>
          <fill>
            <patternFill>
              <bgColor rgb="FF90CAF9"/>
            </patternFill>
          </fill>
        </dxf>
        <dxf>
          <fill>
            <patternFill>
              <bgColor rgb="FFF5F8FA"/>
            </patternFill>
          </fill>
        </dxf>
        <dxf>
          <font>
            <b/>
            <i val="0"/>
            <strike val="0"/>
            <sz val="10"/>
            <color theme="1"/>
            <name val="Source Sans Pro"/>
            <family val="2"/>
          </font>
          <fill>
            <patternFill>
              <bgColor rgb="FF90CAF9"/>
            </patternFill>
          </fill>
        </dxf>
        <dxf>
          <font>
            <b val="0"/>
            <i val="0"/>
            <sz val="10"/>
            <color theme="1"/>
            <name val="Source Sans Pro"/>
            <family val="2"/>
          </font>
          <fill>
            <patternFill>
              <bgColor rgb="FFB2E5FC"/>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s>
        </x14:slicerStyle>
        <x14:slicerStyle name="tnslicer">
          <x14:slicerStyleElements>
            <x14:slicerStyleElement type="unselectedItemWithData" dxfId="1"/>
            <x14:slicerStyleElement type="selectedItemWithData" dxfId="0"/>
          </x14:slicerStyleElements>
        </x14:slicerStyle>
      </x14:slicerStyles>
    </ext>
    <ext xmlns:x15="http://schemas.microsoft.com/office/spreadsheetml/2010/11/main" uri="{A0A4C193-F2C1-4fcb-8827-314CF55A85BB}">
      <x15:dxfs count="3">
        <dxf>
          <fill>
            <patternFill patternType="solid">
              <fgColor theme="4" tint="0.39994506668294322"/>
              <bgColor rgb="FFE6EEF5"/>
            </patternFill>
          </fill>
          <border>
            <vertical/>
            <horizontal/>
          </border>
        </dxf>
        <dxf>
          <fill>
            <patternFill patternType="solid">
              <fgColor auto="1"/>
              <bgColor rgb="FFABB7C1"/>
            </patternFill>
          </fill>
          <border>
            <vertical/>
            <horizontal/>
          </border>
        </dxf>
        <dxf>
          <fill>
            <patternFill patternType="solid">
              <fgColor auto="1"/>
              <bgColor rgb="FF90CAF9"/>
            </patternFill>
          </fill>
          <border>
            <vertical/>
            <horizontal/>
          </border>
        </dxf>
      </x15:dxfs>
    </ext>
    <ext xmlns:x15="http://schemas.microsoft.com/office/spreadsheetml/2010/11/main" uri="{9260A510-F301-46a8-8635-F512D64BE5F5}">
      <x15:timelineStyles defaultTimelineStyle="TimeSlicerStyleLight1">
        <x15:timelineStyle name="Weather">
          <x15:timelineStyleElements>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1/relationships/timelineCache" Target="timelineCaches/timeline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5809823099466828"/>
          <c:y val="3.35853482916405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4ED0-46C6-AC2F-F809AD06300F}"/>
              </c:ext>
            </c:extLst>
          </c:dPt>
          <c:dPt>
            <c:idx val="1"/>
            <c:bubble3D val="0"/>
            <c:spPr>
              <a:solidFill>
                <a:srgbClr val="E6EEF5"/>
              </a:solidFill>
              <a:ln w="19050">
                <a:noFill/>
              </a:ln>
              <a:effectLst/>
            </c:spPr>
            <c:extLst>
              <c:ext xmlns:c16="http://schemas.microsoft.com/office/drawing/2014/chart" uri="{C3380CC4-5D6E-409C-BE32-E72D297353CC}">
                <c16:uniqueId val="{00000003-4ED0-46C6-AC2F-F809AD06300F}"/>
              </c:ext>
            </c:extLst>
          </c:dPt>
          <c:dPt>
            <c:idx val="2"/>
            <c:bubble3D val="0"/>
            <c:spPr>
              <a:noFill/>
              <a:ln w="19050">
                <a:noFill/>
              </a:ln>
              <a:effectLst/>
            </c:spPr>
            <c:extLst>
              <c:ext xmlns:c16="http://schemas.microsoft.com/office/drawing/2014/chart" uri="{C3380CC4-5D6E-409C-BE32-E72D297353CC}">
                <c16:uniqueId val="{00000005-4ED0-46C6-AC2F-F809AD06300F}"/>
              </c:ext>
            </c:extLst>
          </c:dPt>
          <c:val>
            <c:numRef>
              <c:f>'Data Preparation'!$G$24:$G$26</c:f>
              <c:numCache>
                <c:formatCode>0.0</c:formatCode>
                <c:ptCount val="3"/>
                <c:pt idx="0">
                  <c:v>74.075000000000003</c:v>
                </c:pt>
                <c:pt idx="1">
                  <c:v>25.924999999999997</c:v>
                </c:pt>
                <c:pt idx="2" formatCode="General">
                  <c:v>100</c:v>
                </c:pt>
              </c:numCache>
            </c:numRef>
          </c:val>
          <c:extLst>
            <c:ext xmlns:c16="http://schemas.microsoft.com/office/drawing/2014/chart" uri="{C3380CC4-5D6E-409C-BE32-E72D297353CC}">
              <c16:uniqueId val="{00000006-4ED0-46C6-AC2F-F809AD06300F}"/>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D1AD-4B7A-AD22-4939B2D80CC1}"/>
              </c:ext>
            </c:extLst>
          </c:dPt>
          <c:dPt>
            <c:idx val="1"/>
            <c:bubble3D val="0"/>
            <c:spPr>
              <a:solidFill>
                <a:srgbClr val="FEF8E8"/>
              </a:solidFill>
              <a:ln w="19050">
                <a:noFill/>
              </a:ln>
              <a:effectLst/>
            </c:spPr>
            <c:extLst>
              <c:ext xmlns:c16="http://schemas.microsoft.com/office/drawing/2014/chart" uri="{C3380CC4-5D6E-409C-BE32-E72D297353CC}">
                <c16:uniqueId val="{00000003-D1AD-4B7A-AD22-4939B2D80CC1}"/>
              </c:ext>
            </c:extLst>
          </c:dPt>
          <c:dPt>
            <c:idx val="2"/>
            <c:bubble3D val="0"/>
            <c:spPr>
              <a:noFill/>
              <a:ln w="19050">
                <a:noFill/>
              </a:ln>
              <a:effectLst/>
            </c:spPr>
            <c:extLst>
              <c:ext xmlns:c16="http://schemas.microsoft.com/office/drawing/2014/chart" uri="{C3380CC4-5D6E-409C-BE32-E72D297353CC}">
                <c16:uniqueId val="{00000005-D1AD-4B7A-AD22-4939B2D80CC1}"/>
              </c:ext>
            </c:extLst>
          </c:dPt>
          <c:val>
            <c:numRef>
              <c:f>'Data Preparation'!$H$24:$H$26</c:f>
              <c:numCache>
                <c:formatCode>General</c:formatCode>
                <c:ptCount val="3"/>
                <c:pt idx="0" formatCode="0">
                  <c:v>8.75</c:v>
                </c:pt>
                <c:pt idx="1">
                  <c:v>1.25</c:v>
                </c:pt>
                <c:pt idx="2">
                  <c:v>10</c:v>
                </c:pt>
              </c:numCache>
            </c:numRef>
          </c:val>
          <c:extLst>
            <c:ext xmlns:c16="http://schemas.microsoft.com/office/drawing/2014/chart" uri="{C3380CC4-5D6E-409C-BE32-E72D297353CC}">
              <c16:uniqueId val="{00000006-D1AD-4B7A-AD22-4939B2D80CC1}"/>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0296773797971194"/>
          <c:y val="7.584208602761846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559C-47AD-9D86-53D6DBF6F75B}"/>
              </c:ext>
            </c:extLst>
          </c:dPt>
          <c:dPt>
            <c:idx val="1"/>
            <c:bubble3D val="0"/>
            <c:spPr>
              <a:solidFill>
                <a:srgbClr val="FFF0D9"/>
              </a:solidFill>
              <a:ln w="19050">
                <a:noFill/>
              </a:ln>
              <a:effectLst/>
            </c:spPr>
            <c:extLst>
              <c:ext xmlns:c16="http://schemas.microsoft.com/office/drawing/2014/chart" uri="{C3380CC4-5D6E-409C-BE32-E72D297353CC}">
                <c16:uniqueId val="{00000003-559C-47AD-9D86-53D6DBF6F75B}"/>
              </c:ext>
            </c:extLst>
          </c:dPt>
          <c:dPt>
            <c:idx val="2"/>
            <c:bubble3D val="0"/>
            <c:spPr>
              <a:noFill/>
              <a:ln w="19050">
                <a:noFill/>
              </a:ln>
              <a:effectLst/>
            </c:spPr>
            <c:extLst>
              <c:ext xmlns:c16="http://schemas.microsoft.com/office/drawing/2014/chart" uri="{C3380CC4-5D6E-409C-BE32-E72D297353CC}">
                <c16:uniqueId val="{00000005-559C-47AD-9D86-53D6DBF6F75B}"/>
              </c:ext>
            </c:extLst>
          </c:dPt>
          <c:val>
            <c:numRef>
              <c:f>'Data Preparation'!$N$25:$N$27</c:f>
              <c:numCache>
                <c:formatCode>0.00</c:formatCode>
                <c:ptCount val="3"/>
                <c:pt idx="0">
                  <c:v>6.05</c:v>
                </c:pt>
                <c:pt idx="1">
                  <c:v>17.95</c:v>
                </c:pt>
                <c:pt idx="2">
                  <c:v>24</c:v>
                </c:pt>
              </c:numCache>
            </c:numRef>
          </c:val>
          <c:extLst>
            <c:ext xmlns:c16="http://schemas.microsoft.com/office/drawing/2014/chart" uri="{C3380CC4-5D6E-409C-BE32-E72D297353CC}">
              <c16:uniqueId val="{00000006-559C-47AD-9D86-53D6DBF6F75B}"/>
            </c:ext>
          </c:extLst>
        </c:ser>
        <c:dLbls>
          <c:showLegendKey val="0"/>
          <c:showVal val="0"/>
          <c:showCatName val="0"/>
          <c:showSerName val="0"/>
          <c:showPercent val="0"/>
          <c:showBubbleSize val="0"/>
          <c:showLeaderLines val="1"/>
        </c:dLbls>
        <c:firstSliceAng val="270"/>
        <c:holeSize val="6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4064-4D12-8103-57C7718A692C}"/>
              </c:ext>
            </c:extLst>
          </c:dPt>
          <c:dPt>
            <c:idx val="1"/>
            <c:bubble3D val="0"/>
            <c:spPr>
              <a:solidFill>
                <a:srgbClr val="FFF0D9"/>
              </a:solidFill>
              <a:ln w="19050">
                <a:noFill/>
              </a:ln>
              <a:effectLst/>
            </c:spPr>
            <c:extLst>
              <c:ext xmlns:c16="http://schemas.microsoft.com/office/drawing/2014/chart" uri="{C3380CC4-5D6E-409C-BE32-E72D297353CC}">
                <c16:uniqueId val="{00000003-4064-4D12-8103-57C7718A692C}"/>
              </c:ext>
            </c:extLst>
          </c:dPt>
          <c:dPt>
            <c:idx val="2"/>
            <c:bubble3D val="0"/>
            <c:spPr>
              <a:noFill/>
              <a:ln w="19050">
                <a:noFill/>
              </a:ln>
              <a:effectLst/>
            </c:spPr>
            <c:extLst>
              <c:ext xmlns:c16="http://schemas.microsoft.com/office/drawing/2014/chart" uri="{C3380CC4-5D6E-409C-BE32-E72D297353CC}">
                <c16:uniqueId val="{00000005-4064-4D12-8103-57C7718A692C}"/>
              </c:ext>
            </c:extLst>
          </c:dPt>
          <c:val>
            <c:numRef>
              <c:f>'Data Preparation'!$O$25:$O$27</c:f>
              <c:numCache>
                <c:formatCode>0.00</c:formatCode>
                <c:ptCount val="3"/>
                <c:pt idx="0">
                  <c:v>17.95</c:v>
                </c:pt>
                <c:pt idx="1">
                  <c:v>6.0500000000000007</c:v>
                </c:pt>
                <c:pt idx="2" formatCode="General">
                  <c:v>24</c:v>
                </c:pt>
              </c:numCache>
            </c:numRef>
          </c:val>
          <c:extLst>
            <c:ext xmlns:c16="http://schemas.microsoft.com/office/drawing/2014/chart" uri="{C3380CC4-5D6E-409C-BE32-E72D297353CC}">
              <c16:uniqueId val="{00000006-4064-4D12-8103-57C7718A692C}"/>
            </c:ext>
          </c:extLst>
        </c:ser>
        <c:dLbls>
          <c:showLegendKey val="0"/>
          <c:showVal val="0"/>
          <c:showCatName val="0"/>
          <c:showSerName val="0"/>
          <c:showPercent val="0"/>
          <c:showBubbleSize val="0"/>
          <c:showLeaderLines val="1"/>
        </c:dLbls>
        <c:firstSliceAng val="270"/>
        <c:holeSize val="6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[TNWeather.xlsm]Data Preparation!Min_Max_TempTable</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16695631972557104"/>
          <c:y val="0.10020733355076178"/>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8236383543773003"/>
          <c:w val="0.76323668018761759"/>
          <c:h val="0.45812832937302955"/>
        </c:manualLayout>
      </c:layout>
      <c:lineChart>
        <c:grouping val="standard"/>
        <c:varyColors val="0"/>
        <c:ser>
          <c:idx val="0"/>
          <c:order val="0"/>
          <c:tx>
            <c:strRef>
              <c:f>'Data Preparation'!$B$3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'Data Preparation'!$A$4:$A$18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Preparation'!$B$4:$B$18</c:f>
              <c:numCache>
                <c:formatCode>0.0</c:formatCode>
                <c:ptCount val="15"/>
                <c:pt idx="0">
                  <c:v>24.5</c:v>
                </c:pt>
                <c:pt idx="1">
                  <c:v>24.174999999999997</c:v>
                </c:pt>
                <c:pt idx="2">
                  <c:v>24</c:v>
                </c:pt>
                <c:pt idx="3">
                  <c:v>23.175000000000001</c:v>
                </c:pt>
                <c:pt idx="4">
                  <c:v>22.849999999999998</c:v>
                </c:pt>
                <c:pt idx="5">
                  <c:v>23</c:v>
                </c:pt>
                <c:pt idx="6">
                  <c:v>23.3</c:v>
                </c:pt>
                <c:pt idx="7">
                  <c:v>22.175000000000001</c:v>
                </c:pt>
                <c:pt idx="8">
                  <c:v>22.224999999999998</c:v>
                </c:pt>
                <c:pt idx="9">
                  <c:v>22.024999999999999</c:v>
                </c:pt>
                <c:pt idx="10">
                  <c:v>22.1</c:v>
                </c:pt>
                <c:pt idx="11">
                  <c:v>21.550000000000004</c:v>
                </c:pt>
                <c:pt idx="12">
                  <c:v>21.174999999999997</c:v>
                </c:pt>
                <c:pt idx="13">
                  <c:v>20.975000000000001</c:v>
                </c:pt>
                <c:pt idx="14">
                  <c:v>20.774999999999999</c:v>
                </c:pt>
              </c:numCache>
            </c:numRef>
          </c:val>
          <c:smooth val="0"/>
          <c:extLst>
            <c:ext xmlns:c16="http://schemas.microsoft.com/office/drawing/2014/chart" uri="{C3380CC4-5D6E-409C-BE32-E72D297353CC}">
              <c16:uniqueId val="{00000009-D0CB-407C-BFE8-18FFAB2B8D8D}"/>
            </c:ext>
          </c:extLst>
        </c:ser>
        <c:ser>
          <c:idx val="1"/>
          <c:order val="1"/>
          <c:tx>
            <c:strRef>
              <c:f>'Data Preparation'!$C$3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'Data Preparation'!$A$4:$A$18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Preparation'!$C$4:$C$18</c:f>
              <c:numCache>
                <c:formatCode>0.0</c:formatCode>
                <c:ptCount val="15"/>
                <c:pt idx="0">
                  <c:v>35</c:v>
                </c:pt>
                <c:pt idx="1">
                  <c:v>30.549999999999997</c:v>
                </c:pt>
                <c:pt idx="2">
                  <c:v>30.95</c:v>
                </c:pt>
                <c:pt idx="3">
                  <c:v>29.1</c:v>
                </c:pt>
                <c:pt idx="4">
                  <c:v>29.924999999999997</c:v>
                </c:pt>
                <c:pt idx="5">
                  <c:v>29.675000000000001</c:v>
                </c:pt>
                <c:pt idx="6">
                  <c:v>29.049999999999997</c:v>
                </c:pt>
                <c:pt idx="7">
                  <c:v>28.400000000000002</c:v>
                </c:pt>
                <c:pt idx="8">
                  <c:v>28.774999999999999</c:v>
                </c:pt>
                <c:pt idx="9">
                  <c:v>28.575000000000003</c:v>
                </c:pt>
                <c:pt idx="10">
                  <c:v>28.4</c:v>
                </c:pt>
                <c:pt idx="11">
                  <c:v>28.05</c:v>
                </c:pt>
                <c:pt idx="12">
                  <c:v>28.25</c:v>
                </c:pt>
                <c:pt idx="13">
                  <c:v>28.4</c:v>
                </c:pt>
                <c:pt idx="14">
                  <c:v>28.275000000000002</c:v>
                </c:pt>
              </c:numCache>
            </c:numRef>
          </c:val>
          <c:smooth val="0"/>
          <c:extLst>
            <c:ext xmlns:c16="http://schemas.microsoft.com/office/drawing/2014/chart" uri="{C3380CC4-5D6E-409C-BE32-E72D297353CC}">
              <c16:uniqueId val="{0000000A-D0CB-407C-BFE8-18FFAB2B8D8D}"/>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layout>
        <c:manualLayout>
          <c:xMode val="edge"/>
          <c:yMode val="edge"/>
          <c:x val="0.26369994711113087"/>
          <c:y val="0.20510374442839616"/>
          <c:w val="0.46946415708749245"/>
          <c:h val="8.54161203128823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[TNWeather.xlsm]Data Preparation!Wind_Gust_SpeedTable</c:name>
    <c:fmtId val="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33617919119333384"/>
          <c:y val="0"/>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0465545620356777"/>
          <c:y val="0.17676979207386312"/>
          <c:w val="0.88238578228568887"/>
          <c:h val="0.54583635822117971"/>
        </c:manualLayout>
      </c:layout>
      <c:lineChart>
        <c:grouping val="standard"/>
        <c:varyColors val="0"/>
        <c:ser>
          <c:idx val="0"/>
          <c:order val="0"/>
          <c:tx>
            <c:strRef>
              <c:f>'Data Preparation'!$B$24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'Data Preparation'!$A$25:$A$39</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Preparation'!$B$25:$B$39</c:f>
              <c:numCache>
                <c:formatCode>0.0</c:formatCode>
                <c:ptCount val="15"/>
                <c:pt idx="0">
                  <c:v>17.574999999999999</c:v>
                </c:pt>
                <c:pt idx="1">
                  <c:v>18</c:v>
                </c:pt>
                <c:pt idx="2">
                  <c:v>15.4</c:v>
                </c:pt>
                <c:pt idx="3">
                  <c:v>16.3</c:v>
                </c:pt>
                <c:pt idx="4">
                  <c:v>15.125</c:v>
                </c:pt>
                <c:pt idx="5">
                  <c:v>14.850000000000001</c:v>
                </c:pt>
                <c:pt idx="6">
                  <c:v>14.350000000000001</c:v>
                </c:pt>
                <c:pt idx="7">
                  <c:v>13.524999999999999</c:v>
                </c:pt>
                <c:pt idx="8">
                  <c:v>13.125</c:v>
                </c:pt>
                <c:pt idx="9">
                  <c:v>13.075000000000001</c:v>
                </c:pt>
                <c:pt idx="10">
                  <c:v>16.125</c:v>
                </c:pt>
                <c:pt idx="11">
                  <c:v>14.3</c:v>
                </c:pt>
                <c:pt idx="12">
                  <c:v>13.7</c:v>
                </c:pt>
                <c:pt idx="13">
                  <c:v>12.975000000000001</c:v>
                </c:pt>
                <c:pt idx="14">
                  <c:v>13.55</c:v>
                </c:pt>
              </c:numCache>
            </c:numRef>
          </c:val>
          <c:smooth val="0"/>
          <c:extLst>
            <c:ext xmlns:c16="http://schemas.microsoft.com/office/drawing/2014/chart" uri="{C3380CC4-5D6E-409C-BE32-E72D297353CC}">
              <c16:uniqueId val="{00000005-CAF8-4EA7-B5B2-24CE68F1B2C6}"/>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8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[TNWeather.xlsm]Data Preparation!PrecipTable</c:name>
    <c:fmtId val="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rgbClr val="1D2B38"/>
                </a:solidFill>
                <a:latin typeface="Source Sans Pro" panose="020B0503030403020204" pitchFamily="34" charset="0"/>
                <a:ea typeface="Source Sans Pro" panose="020B0503030403020204" pitchFamily="34" charset="0"/>
              </a:rPr>
              <a:t> </a:t>
            </a:r>
          </a:p>
        </c:rich>
      </c:tx>
      <c:layout>
        <c:manualLayout>
          <c:xMode val="edge"/>
          <c:yMode val="edge"/>
          <c:x val="0.30782985300833571"/>
          <c:y val="1.8518567123572225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1322767650081609"/>
          <c:w val="0.80599534283835939"/>
          <c:h val="0.53768149144412891"/>
        </c:manualLayout>
      </c:layout>
      <c:barChart>
        <c:barDir val="col"/>
        <c:grouping val="clustered"/>
        <c:varyColors val="0"/>
        <c:ser>
          <c:idx val="0"/>
          <c:order val="0"/>
          <c:tx>
            <c:strRef>
              <c:f>'Data Preparation'!$L$3</c:f>
              <c:strCache>
                <c:ptCount val="1"/>
                <c:pt idx="0">
                  <c:v>Precipitation</c:v>
                </c:pt>
              </c:strCache>
            </c:strRef>
          </c:tx>
          <c:spPr>
            <a:solidFill>
              <a:srgbClr val="81D4FA"/>
            </a:solidFill>
            <a:ln>
              <a:noFill/>
            </a:ln>
            <a:effectLst/>
          </c:spPr>
          <c:invertIfNegative val="0"/>
          <c:cat>
            <c:strRef>
              <c:f>'Data Preparation'!$K$4:$K$18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Preparation'!$L$4:$L$18</c:f>
              <c:numCache>
                <c:formatCode>0.0</c:formatCode>
                <c:ptCount val="15"/>
                <c:pt idx="0">
                  <c:v>2.4500000000000002</c:v>
                </c:pt>
                <c:pt idx="1">
                  <c:v>3.9</c:v>
                </c:pt>
                <c:pt idx="2">
                  <c:v>10.7</c:v>
                </c:pt>
                <c:pt idx="3">
                  <c:v>7.375</c:v>
                </c:pt>
                <c:pt idx="4">
                  <c:v>4.4750000000000005</c:v>
                </c:pt>
                <c:pt idx="5">
                  <c:v>10.6</c:v>
                </c:pt>
                <c:pt idx="6">
                  <c:v>7.7249999999999996</c:v>
                </c:pt>
                <c:pt idx="7">
                  <c:v>0.5</c:v>
                </c:pt>
                <c:pt idx="8">
                  <c:v>0.42499999999999999</c:v>
                </c:pt>
                <c:pt idx="9">
                  <c:v>0.375</c:v>
                </c:pt>
                <c:pt idx="10">
                  <c:v>0.05</c:v>
                </c:pt>
                <c:pt idx="11">
                  <c:v>0.05</c:v>
                </c:pt>
                <c:pt idx="12">
                  <c:v>0.1</c:v>
                </c:pt>
                <c:pt idx="13">
                  <c:v>0.05</c:v>
                </c:pt>
                <c:pt idx="14">
                  <c:v>2.5000000000000001E-2</c:v>
                </c:pt>
              </c:numCache>
            </c:numRef>
          </c:val>
          <c:extLst>
            <c:ext xmlns:c16="http://schemas.microsoft.com/office/drawing/2014/chart" uri="{C3380CC4-5D6E-409C-BE32-E72D297353CC}">
              <c16:uniqueId val="{00000009-CB7D-411C-A2DE-120ABDF9E506}"/>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'Data Preparation'!$M$3</c:f>
              <c:strCache>
                <c:ptCount val="1"/>
                <c:pt idx="0">
                  <c:v>Precip-Prob</c:v>
                </c:pt>
              </c:strCache>
            </c:strRef>
          </c:tx>
          <c:spPr>
            <a:ln w="28575" cap="rnd">
              <a:solidFill>
                <a:srgbClr val="00B0F0"/>
              </a:solidFill>
              <a:round/>
            </a:ln>
            <a:effectLst/>
          </c:spPr>
          <c:marker>
            <c:symbol val="none"/>
          </c:marker>
          <c:cat>
            <c:strRef>
              <c:f>'Data Preparation'!$K$4:$K$18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'Data Preparation'!$M$4:$M$18</c:f>
              <c:numCache>
                <c:formatCode>0.0</c:formatCode>
                <c:ptCount val="15"/>
                <c:pt idx="0">
                  <c:v>84.674999999999997</c:v>
                </c:pt>
                <c:pt idx="1">
                  <c:v>88.7</c:v>
                </c:pt>
                <c:pt idx="2">
                  <c:v>87.925000000000011</c:v>
                </c:pt>
                <c:pt idx="3">
                  <c:v>66.925000000000011</c:v>
                </c:pt>
                <c:pt idx="4">
                  <c:v>30.625000000000004</c:v>
                </c:pt>
                <c:pt idx="5">
                  <c:v>46.775000000000006</c:v>
                </c:pt>
                <c:pt idx="6">
                  <c:v>54</c:v>
                </c:pt>
                <c:pt idx="7">
                  <c:v>50</c:v>
                </c:pt>
                <c:pt idx="8">
                  <c:v>39.550000000000004</c:v>
                </c:pt>
                <c:pt idx="9">
                  <c:v>29.050000000000004</c:v>
                </c:pt>
                <c:pt idx="10">
                  <c:v>21.8</c:v>
                </c:pt>
                <c:pt idx="11">
                  <c:v>10.5</c:v>
                </c:pt>
                <c:pt idx="12">
                  <c:v>11.3</c:v>
                </c:pt>
                <c:pt idx="13">
                  <c:v>12.900000000000002</c:v>
                </c:pt>
                <c:pt idx="14">
                  <c:v>16.925000000000001</c:v>
                </c:pt>
              </c:numCache>
            </c:numRef>
          </c:val>
          <c:smooth val="0"/>
          <c:extLst>
            <c:ext xmlns:c16="http://schemas.microsoft.com/office/drawing/2014/chart" uri="{C3380CC4-5D6E-409C-BE32-E72D297353CC}">
              <c16:uniqueId val="{0000000A-CB7D-411C-A2DE-120ABDF9E506}"/>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5423033879847234"/>
          <c:y val="0.13004616799631344"/>
          <c:w val="0.53852072478272428"/>
          <c:h val="8.3979196018235405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7304201977401127"/>
          <c:y val="8.04207059408401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08BD-48DD-BA11-8893230144AE}"/>
              </c:ext>
            </c:extLst>
          </c:dPt>
          <c:dPt>
            <c:idx val="1"/>
            <c:bubble3D val="0"/>
            <c:spPr>
              <a:solidFill>
                <a:srgbClr val="E6EEF5"/>
              </a:solidFill>
              <a:ln w="19050">
                <a:noFill/>
              </a:ln>
              <a:effectLst/>
            </c:spPr>
            <c:extLst>
              <c:ext xmlns:c16="http://schemas.microsoft.com/office/drawing/2014/chart" uri="{C3380CC4-5D6E-409C-BE32-E72D297353CC}">
                <c16:uniqueId val="{00000003-08BD-48DD-BA11-8893230144AE}"/>
              </c:ext>
            </c:extLst>
          </c:dPt>
          <c:dPt>
            <c:idx val="2"/>
            <c:bubble3D val="0"/>
            <c:spPr>
              <a:noFill/>
              <a:ln w="19050">
                <a:noFill/>
              </a:ln>
              <a:effectLst/>
            </c:spPr>
            <c:extLst>
              <c:ext xmlns:c16="http://schemas.microsoft.com/office/drawing/2014/chart" uri="{C3380CC4-5D6E-409C-BE32-E72D297353CC}">
                <c16:uniqueId val="{00000005-08BD-48DD-BA11-8893230144AE}"/>
              </c:ext>
            </c:extLst>
          </c:dPt>
          <c:val>
            <c:numRef>
              <c:f>DPCni!$G$24:$G$26</c:f>
              <c:numCache>
                <c:formatCode>0.0</c:formatCode>
                <c:ptCount val="3"/>
                <c:pt idx="0">
                  <c:v>78.900000000000006</c:v>
                </c:pt>
                <c:pt idx="1">
                  <c:v>21.099999999999994</c:v>
                </c:pt>
                <c:pt idx="2" formatCode="General">
                  <c:v>100</c:v>
                </c:pt>
              </c:numCache>
            </c:numRef>
          </c:val>
          <c:extLst>
            <c:ext xmlns:c16="http://schemas.microsoft.com/office/drawing/2014/chart" uri="{C3380CC4-5D6E-409C-BE32-E72D297353CC}">
              <c16:uniqueId val="{00000006-08BD-48DD-BA11-8893230144AE}"/>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layout>
        <c:manualLayout>
          <c:xMode val="edge"/>
          <c:yMode val="edge"/>
          <c:x val="0.27359051318267419"/>
          <c:y val="7.81578250976693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4FDF-484E-BE6A-83A857C958A4}"/>
              </c:ext>
            </c:extLst>
          </c:dPt>
          <c:dPt>
            <c:idx val="1"/>
            <c:bubble3D val="0"/>
            <c:spPr>
              <a:solidFill>
                <a:srgbClr val="FEF8E8"/>
              </a:solidFill>
              <a:ln w="19050">
                <a:noFill/>
              </a:ln>
              <a:effectLst/>
            </c:spPr>
            <c:extLst>
              <c:ext xmlns:c16="http://schemas.microsoft.com/office/drawing/2014/chart" uri="{C3380CC4-5D6E-409C-BE32-E72D297353CC}">
                <c16:uniqueId val="{00000003-4FDF-484E-BE6A-83A857C958A4}"/>
              </c:ext>
            </c:extLst>
          </c:dPt>
          <c:dPt>
            <c:idx val="2"/>
            <c:bubble3D val="0"/>
            <c:spPr>
              <a:noFill/>
              <a:ln w="19050">
                <a:noFill/>
              </a:ln>
              <a:effectLst/>
            </c:spPr>
            <c:extLst>
              <c:ext xmlns:c16="http://schemas.microsoft.com/office/drawing/2014/chart" uri="{C3380CC4-5D6E-409C-BE32-E72D297353CC}">
                <c16:uniqueId val="{00000005-4FDF-484E-BE6A-83A857C958A4}"/>
              </c:ext>
            </c:extLst>
          </c:dPt>
          <c:val>
            <c:numRef>
              <c:f>DPCni!$H$24:$H$26</c:f>
              <c:numCache>
                <c:formatCode>General</c:formatCode>
                <c:ptCount val="3"/>
                <c:pt idx="0" formatCode="0">
                  <c:v>8</c:v>
                </c:pt>
                <c:pt idx="1">
                  <c:v>2</c:v>
                </c:pt>
                <c:pt idx="2">
                  <c:v>10</c:v>
                </c:pt>
              </c:numCache>
            </c:numRef>
          </c:val>
          <c:extLst>
            <c:ext xmlns:c16="http://schemas.microsoft.com/office/drawing/2014/chart" uri="{C3380CC4-5D6E-409C-BE32-E72D297353CC}">
              <c16:uniqueId val="{00000006-4FDF-484E-BE6A-83A857C958A4}"/>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2574093691148776"/>
          <c:y val="7.36434243380499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41C2-402F-8E7B-6EE7CAE5A300}"/>
              </c:ext>
            </c:extLst>
          </c:dPt>
          <c:dPt>
            <c:idx val="1"/>
            <c:bubble3D val="0"/>
            <c:spPr>
              <a:solidFill>
                <a:srgbClr val="FFF0D9"/>
              </a:solidFill>
              <a:ln w="19050">
                <a:noFill/>
              </a:ln>
              <a:effectLst/>
            </c:spPr>
            <c:extLst>
              <c:ext xmlns:c16="http://schemas.microsoft.com/office/drawing/2014/chart" uri="{C3380CC4-5D6E-409C-BE32-E72D297353CC}">
                <c16:uniqueId val="{00000003-41C2-402F-8E7B-6EE7CAE5A300}"/>
              </c:ext>
            </c:extLst>
          </c:dPt>
          <c:dPt>
            <c:idx val="2"/>
            <c:bubble3D val="0"/>
            <c:spPr>
              <a:noFill/>
              <a:ln w="19050">
                <a:noFill/>
              </a:ln>
              <a:effectLst/>
            </c:spPr>
            <c:extLst>
              <c:ext xmlns:c16="http://schemas.microsoft.com/office/drawing/2014/chart" uri="{C3380CC4-5D6E-409C-BE32-E72D297353CC}">
                <c16:uniqueId val="{00000005-41C2-402F-8E7B-6EE7CAE5A300}"/>
              </c:ext>
            </c:extLst>
          </c:dPt>
          <c:val>
            <c:numRef>
              <c:f>DPCni!$N$25:$N$27</c:f>
              <c:numCache>
                <c:formatCode>0.00</c:formatCode>
                <c:ptCount val="3"/>
                <c:pt idx="0">
                  <c:v>6.05</c:v>
                </c:pt>
                <c:pt idx="1">
                  <c:v>17.95</c:v>
                </c:pt>
                <c:pt idx="2">
                  <c:v>24</c:v>
                </c:pt>
              </c:numCache>
            </c:numRef>
          </c:val>
          <c:extLst>
            <c:ext xmlns:c16="http://schemas.microsoft.com/office/drawing/2014/chart" uri="{C3380CC4-5D6E-409C-BE32-E72D297353CC}">
              <c16:uniqueId val="{00000006-41C2-402F-8E7B-6EE7CAE5A300}"/>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[TNWeather.xlsm]DPCni!Wind_Gust_SpeedTable</c:name>
    <c:fmtId val="9"/>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0286909264603161"/>
          <c:y val="0.17676963699365988"/>
          <c:w val="0.86150962434144629"/>
          <c:h val="0.54242542190869703"/>
        </c:manualLayout>
      </c:layout>
      <c:lineChart>
        <c:grouping val="standard"/>
        <c:varyColors val="0"/>
        <c:ser>
          <c:idx val="0"/>
          <c:order val="0"/>
          <c:tx>
            <c:strRef>
              <c:f>DPCni!$B$24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DPCni!$A$25:$A$39</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DPCni!$B$25:$B$39</c:f>
              <c:numCache>
                <c:formatCode>0.0</c:formatCode>
                <c:ptCount val="15"/>
                <c:pt idx="0">
                  <c:v>14.8</c:v>
                </c:pt>
                <c:pt idx="1">
                  <c:v>19.399999999999999</c:v>
                </c:pt>
                <c:pt idx="2">
                  <c:v>14.8</c:v>
                </c:pt>
                <c:pt idx="3">
                  <c:v>14.4</c:v>
                </c:pt>
                <c:pt idx="4">
                  <c:v>16.600000000000001</c:v>
                </c:pt>
                <c:pt idx="5">
                  <c:v>26.3</c:v>
                </c:pt>
                <c:pt idx="6">
                  <c:v>23</c:v>
                </c:pt>
                <c:pt idx="7">
                  <c:v>22</c:v>
                </c:pt>
                <c:pt idx="8">
                  <c:v>20.5</c:v>
                </c:pt>
                <c:pt idx="9">
                  <c:v>22</c:v>
                </c:pt>
                <c:pt idx="10">
                  <c:v>22</c:v>
                </c:pt>
                <c:pt idx="11">
                  <c:v>19.8</c:v>
                </c:pt>
                <c:pt idx="12">
                  <c:v>18.399999999999999</c:v>
                </c:pt>
                <c:pt idx="13">
                  <c:v>19.100000000000001</c:v>
                </c:pt>
                <c:pt idx="14">
                  <c:v>20.5</c:v>
                </c:pt>
              </c:numCache>
            </c:numRef>
          </c:val>
          <c:smooth val="0"/>
          <c:extLst>
            <c:ext xmlns:c16="http://schemas.microsoft.com/office/drawing/2014/chart" uri="{C3380CC4-5D6E-409C-BE32-E72D297353CC}">
              <c16:uniqueId val="{00000000-4C75-4420-9297-9AB93D7C34F5}"/>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[TNWeather.xlsm]DPCni!Min_Max_TempTable</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ysClr val="windowText" lastClr="000000"/>
                </a:solidFill>
                <a:latin typeface="Source Sans Pro" panose="020B0503030403020204" pitchFamily="34" charset="0"/>
                <a:ea typeface="Source Sans Pro" panose="020B0503030403020204"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rPr>
              <a:t> vs Maximum Temp</a:t>
            </a:r>
            <a:endParaRPr lang="en-IN" sz="1400" b="1">
              <a:solidFill>
                <a:sysClr val="windowText" lastClr="000000"/>
              </a:solidFill>
              <a:latin typeface="Source Sans Pro" panose="020B0503030403020204" pitchFamily="34" charset="0"/>
              <a:ea typeface="Source Sans Pro" panose="020B0503030403020204" pitchFamily="34" charset="0"/>
            </a:endParaRPr>
          </a:p>
        </c:rich>
      </c:tx>
      <c:layout>
        <c:manualLayout>
          <c:xMode val="edge"/>
          <c:yMode val="edge"/>
          <c:x val="0.2004762708241393"/>
          <c:y val="3.014279854127842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DPCni!$B$3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DPCni!$A$4:$A$18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DPCni!$B$4:$B$18</c:f>
              <c:numCache>
                <c:formatCode>0.0</c:formatCode>
                <c:ptCount val="15"/>
                <c:pt idx="0">
                  <c:v>26</c:v>
                </c:pt>
                <c:pt idx="1">
                  <c:v>27.6</c:v>
                </c:pt>
                <c:pt idx="2">
                  <c:v>27</c:v>
                </c:pt>
                <c:pt idx="3">
                  <c:v>27.2</c:v>
                </c:pt>
                <c:pt idx="4">
                  <c:v>25.3</c:v>
                </c:pt>
                <c:pt idx="5">
                  <c:v>25.8</c:v>
                </c:pt>
                <c:pt idx="6">
                  <c:v>23.6</c:v>
                </c:pt>
                <c:pt idx="7">
                  <c:v>23.4</c:v>
                </c:pt>
                <c:pt idx="8">
                  <c:v>23.2</c:v>
                </c:pt>
                <c:pt idx="9">
                  <c:v>23.1</c:v>
                </c:pt>
                <c:pt idx="10">
                  <c:v>23.4</c:v>
                </c:pt>
                <c:pt idx="11">
                  <c:v>22.8</c:v>
                </c:pt>
                <c:pt idx="12">
                  <c:v>22.6</c:v>
                </c:pt>
                <c:pt idx="13">
                  <c:v>22.3</c:v>
                </c:pt>
                <c:pt idx="14">
                  <c:v>21.7</c:v>
                </c:pt>
              </c:numCache>
            </c:numRef>
          </c:val>
          <c:smooth val="0"/>
          <c:extLst>
            <c:ext xmlns:c16="http://schemas.microsoft.com/office/drawing/2014/chart" uri="{C3380CC4-5D6E-409C-BE32-E72D297353CC}">
              <c16:uniqueId val="{00000000-DC13-4F57-A783-71B50FDDC462}"/>
            </c:ext>
          </c:extLst>
        </c:ser>
        <c:ser>
          <c:idx val="1"/>
          <c:order val="1"/>
          <c:tx>
            <c:strRef>
              <c:f>DPCni!$C$3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DPCni!$A$4:$A$18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DPCni!$C$4:$C$18</c:f>
              <c:numCache>
                <c:formatCode>0.0</c:formatCode>
                <c:ptCount val="15"/>
                <c:pt idx="0">
                  <c:v>35</c:v>
                </c:pt>
                <c:pt idx="1">
                  <c:v>31.7</c:v>
                </c:pt>
                <c:pt idx="2">
                  <c:v>30.3</c:v>
                </c:pt>
                <c:pt idx="3">
                  <c:v>29.6</c:v>
                </c:pt>
                <c:pt idx="4">
                  <c:v>29.5</c:v>
                </c:pt>
                <c:pt idx="5">
                  <c:v>29.9</c:v>
                </c:pt>
                <c:pt idx="6">
                  <c:v>28.9</c:v>
                </c:pt>
                <c:pt idx="7">
                  <c:v>28.5</c:v>
                </c:pt>
                <c:pt idx="8">
                  <c:v>28.8</c:v>
                </c:pt>
                <c:pt idx="9">
                  <c:v>28.4</c:v>
                </c:pt>
                <c:pt idx="10">
                  <c:v>28.2</c:v>
                </c:pt>
                <c:pt idx="11">
                  <c:v>27.9</c:v>
                </c:pt>
                <c:pt idx="12">
                  <c:v>27.8</c:v>
                </c:pt>
                <c:pt idx="13">
                  <c:v>28.2</c:v>
                </c:pt>
                <c:pt idx="14">
                  <c:v>27.3</c:v>
                </c:pt>
              </c:numCache>
            </c:numRef>
          </c:val>
          <c:smooth val="0"/>
          <c:extLst>
            <c:ext xmlns:c16="http://schemas.microsoft.com/office/drawing/2014/chart" uri="{C3380CC4-5D6E-409C-BE32-E72D297353CC}">
              <c16:uniqueId val="{00000001-DC13-4F57-A783-71B50FDDC462}"/>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rgbClr val="1D2B38"/>
                </a:solidFill>
                <a:latin typeface="Source Sans Pro" panose="020B0503030403020204" pitchFamily="34" charset="0"/>
                <a:ea typeface="Source Sans Pro" panose="020B0503030403020204" pitchFamily="34" charset="0"/>
              </a:rPr>
              <a:t>Sunset</a:t>
            </a:r>
          </a:p>
        </c:rich>
      </c:tx>
      <c:layout>
        <c:manualLayout>
          <c:xMode val="edge"/>
          <c:yMode val="edge"/>
          <c:x val="0.31854696327683618"/>
          <c:y val="6.45325203252032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BA90-4B37-AB30-8EFFA79EE0AB}"/>
              </c:ext>
            </c:extLst>
          </c:dPt>
          <c:dPt>
            <c:idx val="1"/>
            <c:bubble3D val="0"/>
            <c:spPr>
              <a:solidFill>
                <a:srgbClr val="FFF0D9"/>
              </a:solidFill>
              <a:ln w="19050">
                <a:noFill/>
              </a:ln>
              <a:effectLst/>
            </c:spPr>
            <c:extLst>
              <c:ext xmlns:c16="http://schemas.microsoft.com/office/drawing/2014/chart" uri="{C3380CC4-5D6E-409C-BE32-E72D297353CC}">
                <c16:uniqueId val="{00000003-BA90-4B37-AB30-8EFFA79EE0AB}"/>
              </c:ext>
            </c:extLst>
          </c:dPt>
          <c:dPt>
            <c:idx val="2"/>
            <c:bubble3D val="0"/>
            <c:spPr>
              <a:noFill/>
              <a:ln w="19050">
                <a:noFill/>
              </a:ln>
              <a:effectLst/>
            </c:spPr>
            <c:extLst>
              <c:ext xmlns:c16="http://schemas.microsoft.com/office/drawing/2014/chart" uri="{C3380CC4-5D6E-409C-BE32-E72D297353CC}">
                <c16:uniqueId val="{00000005-BA90-4B37-AB30-8EFFA79EE0AB}"/>
              </c:ext>
            </c:extLst>
          </c:dPt>
          <c:val>
            <c:numRef>
              <c:f>DPCni!$O$25:$O$27</c:f>
              <c:numCache>
                <c:formatCode>0.00</c:formatCode>
                <c:ptCount val="3"/>
                <c:pt idx="0">
                  <c:v>17.683333333333334</c:v>
                </c:pt>
                <c:pt idx="1">
                  <c:v>6.3166666666666664</c:v>
                </c:pt>
                <c:pt idx="2">
                  <c:v>24</c:v>
                </c:pt>
              </c:numCache>
            </c:numRef>
          </c:val>
          <c:extLst>
            <c:ext xmlns:c16="http://schemas.microsoft.com/office/drawing/2014/chart" uri="{C3380CC4-5D6E-409C-BE32-E72D297353CC}">
              <c16:uniqueId val="{00000006-BA90-4B37-AB30-8EFFA79EE0AB}"/>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[TNWeather.xlsm]DPCni!PrecipTable</c:name>
    <c:fmtId val="8"/>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30531035182647881"/>
          <c:y val="1.8518441897650374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0370370370370369"/>
          <c:w val="0.77938517060367452"/>
          <c:h val="0.54720545348498106"/>
        </c:manualLayout>
      </c:layout>
      <c:barChart>
        <c:barDir val="col"/>
        <c:grouping val="clustered"/>
        <c:varyColors val="0"/>
        <c:ser>
          <c:idx val="0"/>
          <c:order val="0"/>
          <c:tx>
            <c:strRef>
              <c:f>DPCni!$L$3</c:f>
              <c:strCache>
                <c:ptCount val="1"/>
                <c:pt idx="0">
                  <c:v>Precipitation</c:v>
                </c:pt>
              </c:strCache>
            </c:strRef>
          </c:tx>
          <c:spPr>
            <a:solidFill>
              <a:srgbClr val="81D4FA"/>
            </a:solidFill>
            <a:ln>
              <a:noFill/>
            </a:ln>
            <a:effectLst/>
          </c:spPr>
          <c:invertIfNegative val="0"/>
          <c:cat>
            <c:strRef>
              <c:f>DPCni!$K$4:$K$18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DPCni!$L$4:$L$18</c:f>
              <c:numCache>
                <c:formatCode>0.0</c:formatCode>
                <c:ptCount val="15"/>
                <c:pt idx="0">
                  <c:v>5</c:v>
                </c:pt>
                <c:pt idx="1">
                  <c:v>10.4</c:v>
                </c:pt>
                <c:pt idx="2">
                  <c:v>1.1000000000000001</c:v>
                </c:pt>
                <c:pt idx="3">
                  <c:v>2.1</c:v>
                </c:pt>
                <c:pt idx="4">
                  <c:v>2.4</c:v>
                </c:pt>
                <c:pt idx="5">
                  <c:v>1.3</c:v>
                </c:pt>
                <c:pt idx="6">
                  <c:v>0</c:v>
                </c:pt>
                <c:pt idx="7">
                  <c:v>0</c:v>
                </c:pt>
                <c:pt idx="8">
                  <c:v>0</c:v>
                </c:pt>
                <c:pt idx="9">
                  <c:v>0</c:v>
                </c:pt>
                <c:pt idx="10">
                  <c:v>0</c:v>
                </c:pt>
                <c:pt idx="11">
                  <c:v>0</c:v>
                </c:pt>
                <c:pt idx="12">
                  <c:v>0.1</c:v>
                </c:pt>
                <c:pt idx="13">
                  <c:v>0</c:v>
                </c:pt>
                <c:pt idx="14">
                  <c:v>0</c:v>
                </c:pt>
              </c:numCache>
            </c:numRef>
          </c:val>
          <c:extLst>
            <c:ext xmlns:c16="http://schemas.microsoft.com/office/drawing/2014/chart" uri="{C3380CC4-5D6E-409C-BE32-E72D297353CC}">
              <c16:uniqueId val="{00000000-9552-406B-B1FA-E4C4EE8D61A6}"/>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DPCni!$M$3</c:f>
              <c:strCache>
                <c:ptCount val="1"/>
                <c:pt idx="0">
                  <c:v>Precip-Prob</c:v>
                </c:pt>
              </c:strCache>
            </c:strRef>
          </c:tx>
          <c:spPr>
            <a:ln w="28575" cap="rnd">
              <a:solidFill>
                <a:srgbClr val="00B0F0"/>
              </a:solidFill>
              <a:round/>
            </a:ln>
            <a:effectLst/>
          </c:spPr>
          <c:marker>
            <c:symbol val="none"/>
          </c:marker>
          <c:cat>
            <c:strRef>
              <c:f>DPCni!$K$4:$K$18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DPCni!$M$4:$M$18</c:f>
              <c:numCache>
                <c:formatCode>0.0</c:formatCode>
                <c:ptCount val="15"/>
                <c:pt idx="0">
                  <c:v>100</c:v>
                </c:pt>
                <c:pt idx="1">
                  <c:v>100</c:v>
                </c:pt>
                <c:pt idx="2">
                  <c:v>74.2</c:v>
                </c:pt>
                <c:pt idx="3">
                  <c:v>77.400000000000006</c:v>
                </c:pt>
                <c:pt idx="4">
                  <c:v>54.8</c:v>
                </c:pt>
                <c:pt idx="5">
                  <c:v>38.700000000000003</c:v>
                </c:pt>
                <c:pt idx="6">
                  <c:v>29</c:v>
                </c:pt>
                <c:pt idx="7">
                  <c:v>16.100000000000001</c:v>
                </c:pt>
                <c:pt idx="8">
                  <c:v>6.5</c:v>
                </c:pt>
                <c:pt idx="9">
                  <c:v>0</c:v>
                </c:pt>
                <c:pt idx="10">
                  <c:v>9.6999999999999993</c:v>
                </c:pt>
                <c:pt idx="11">
                  <c:v>6.5</c:v>
                </c:pt>
                <c:pt idx="12">
                  <c:v>16.100000000000001</c:v>
                </c:pt>
                <c:pt idx="13">
                  <c:v>16.100000000000001</c:v>
                </c:pt>
                <c:pt idx="14">
                  <c:v>16.100000000000001</c:v>
                </c:pt>
              </c:numCache>
            </c:numRef>
          </c:val>
          <c:smooth val="0"/>
          <c:extLst>
            <c:ext xmlns:c16="http://schemas.microsoft.com/office/drawing/2014/chart" uri="{C3380CC4-5D6E-409C-BE32-E72D297353CC}">
              <c16:uniqueId val="{00000001-9552-406B-B1FA-E4C4EE8D61A6}"/>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0482356054755341"/>
          <c:y val="0.13004623122079986"/>
          <c:w val="0.49610402496805034"/>
          <c:h val="8.4575858272576979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6556791431261767"/>
          <c:y val="6.24706413730804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529A-477C-B252-1A68D910F41D}"/>
              </c:ext>
            </c:extLst>
          </c:dPt>
          <c:dPt>
            <c:idx val="1"/>
            <c:bubble3D val="0"/>
            <c:spPr>
              <a:solidFill>
                <a:srgbClr val="E6EEF5"/>
              </a:solidFill>
              <a:ln w="19050">
                <a:noFill/>
              </a:ln>
              <a:effectLst/>
            </c:spPr>
            <c:extLst>
              <c:ext xmlns:c16="http://schemas.microsoft.com/office/drawing/2014/chart" uri="{C3380CC4-5D6E-409C-BE32-E72D297353CC}">
                <c16:uniqueId val="{00000003-529A-477C-B252-1A68D910F41D}"/>
              </c:ext>
            </c:extLst>
          </c:dPt>
          <c:dPt>
            <c:idx val="2"/>
            <c:bubble3D val="0"/>
            <c:spPr>
              <a:noFill/>
              <a:ln w="19050">
                <a:noFill/>
              </a:ln>
              <a:effectLst/>
            </c:spPr>
            <c:extLst>
              <c:ext xmlns:c16="http://schemas.microsoft.com/office/drawing/2014/chart" uri="{C3380CC4-5D6E-409C-BE32-E72D297353CC}">
                <c16:uniqueId val="{00000005-529A-477C-B252-1A68D910F41D}"/>
              </c:ext>
            </c:extLst>
          </c:dPt>
          <c:val>
            <c:numRef>
              <c:f>DPCbe!$G$24:$G$26</c:f>
              <c:numCache>
                <c:formatCode>0.0</c:formatCode>
                <c:ptCount val="3"/>
                <c:pt idx="0">
                  <c:v>77.8</c:v>
                </c:pt>
                <c:pt idx="1">
                  <c:v>22.200000000000003</c:v>
                </c:pt>
                <c:pt idx="2" formatCode="General">
                  <c:v>100</c:v>
                </c:pt>
              </c:numCache>
            </c:numRef>
          </c:val>
          <c:extLst>
            <c:ext xmlns:c16="http://schemas.microsoft.com/office/drawing/2014/chart" uri="{C3380CC4-5D6E-409C-BE32-E72D297353CC}">
              <c16:uniqueId val="{00000006-529A-477C-B252-1A68D910F41D}"/>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41B6-4CD8-9E42-91325C32DA98}"/>
              </c:ext>
            </c:extLst>
          </c:dPt>
          <c:dPt>
            <c:idx val="1"/>
            <c:bubble3D val="0"/>
            <c:spPr>
              <a:solidFill>
                <a:srgbClr val="FEF8E8"/>
              </a:solidFill>
              <a:ln w="19050">
                <a:noFill/>
              </a:ln>
              <a:effectLst/>
            </c:spPr>
            <c:extLst>
              <c:ext xmlns:c16="http://schemas.microsoft.com/office/drawing/2014/chart" uri="{C3380CC4-5D6E-409C-BE32-E72D297353CC}">
                <c16:uniqueId val="{00000003-41B6-4CD8-9E42-91325C32DA98}"/>
              </c:ext>
            </c:extLst>
          </c:dPt>
          <c:dPt>
            <c:idx val="2"/>
            <c:bubble3D val="0"/>
            <c:spPr>
              <a:noFill/>
              <a:ln w="19050">
                <a:noFill/>
              </a:ln>
              <a:effectLst/>
            </c:spPr>
            <c:extLst>
              <c:ext xmlns:c16="http://schemas.microsoft.com/office/drawing/2014/chart" uri="{C3380CC4-5D6E-409C-BE32-E72D297353CC}">
                <c16:uniqueId val="{00000005-41B6-4CD8-9E42-91325C32DA98}"/>
              </c:ext>
            </c:extLst>
          </c:dPt>
          <c:val>
            <c:numRef>
              <c:f>DPCbe!$H$24:$H$26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41B6-4CD8-9E42-91325C32DA98}"/>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81E0-486B-8DF2-6EE39BC6A370}"/>
              </c:ext>
            </c:extLst>
          </c:dPt>
          <c:dPt>
            <c:idx val="1"/>
            <c:bubble3D val="0"/>
            <c:spPr>
              <a:solidFill>
                <a:srgbClr val="FFF0D9"/>
              </a:solidFill>
              <a:ln w="19050">
                <a:noFill/>
              </a:ln>
              <a:effectLst/>
            </c:spPr>
            <c:extLst>
              <c:ext xmlns:c16="http://schemas.microsoft.com/office/drawing/2014/chart" uri="{C3380CC4-5D6E-409C-BE32-E72D297353CC}">
                <c16:uniqueId val="{00000003-81E0-486B-8DF2-6EE39BC6A370}"/>
              </c:ext>
            </c:extLst>
          </c:dPt>
          <c:dPt>
            <c:idx val="2"/>
            <c:bubble3D val="0"/>
            <c:spPr>
              <a:noFill/>
              <a:ln w="19050">
                <a:noFill/>
              </a:ln>
              <a:effectLst/>
            </c:spPr>
            <c:extLst>
              <c:ext xmlns:c16="http://schemas.microsoft.com/office/drawing/2014/chart" uri="{C3380CC4-5D6E-409C-BE32-E72D297353CC}">
                <c16:uniqueId val="{00000005-81E0-486B-8DF2-6EE39BC6A370}"/>
              </c:ext>
            </c:extLst>
          </c:dPt>
          <c:val>
            <c:numRef>
              <c:f>DPCbe!$N$25:$N$27</c:f>
              <c:numCache>
                <c:formatCode>0.00</c:formatCode>
                <c:ptCount val="3"/>
                <c:pt idx="0">
                  <c:v>6.2333333333333334</c:v>
                </c:pt>
                <c:pt idx="1">
                  <c:v>17.766666666666666</c:v>
                </c:pt>
                <c:pt idx="2">
                  <c:v>24</c:v>
                </c:pt>
              </c:numCache>
            </c:numRef>
          </c:val>
          <c:extLst>
            <c:ext xmlns:c16="http://schemas.microsoft.com/office/drawing/2014/chart" uri="{C3380CC4-5D6E-409C-BE32-E72D297353CC}">
              <c16:uniqueId val="{00000006-81E0-486B-8DF2-6EE39BC6A370}"/>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E850-469D-A7BD-63B17BBA6748}"/>
              </c:ext>
            </c:extLst>
          </c:dPt>
          <c:dPt>
            <c:idx val="1"/>
            <c:bubble3D val="0"/>
            <c:spPr>
              <a:solidFill>
                <a:srgbClr val="FFF0D9"/>
              </a:solidFill>
              <a:ln w="19050">
                <a:noFill/>
              </a:ln>
              <a:effectLst/>
            </c:spPr>
            <c:extLst>
              <c:ext xmlns:c16="http://schemas.microsoft.com/office/drawing/2014/chart" uri="{C3380CC4-5D6E-409C-BE32-E72D297353CC}">
                <c16:uniqueId val="{00000003-E850-469D-A7BD-63B17BBA6748}"/>
              </c:ext>
            </c:extLst>
          </c:dPt>
          <c:dPt>
            <c:idx val="2"/>
            <c:bubble3D val="0"/>
            <c:spPr>
              <a:noFill/>
              <a:ln w="19050">
                <a:noFill/>
              </a:ln>
              <a:effectLst/>
            </c:spPr>
            <c:extLst>
              <c:ext xmlns:c16="http://schemas.microsoft.com/office/drawing/2014/chart" uri="{C3380CC4-5D6E-409C-BE32-E72D297353CC}">
                <c16:uniqueId val="{00000005-E850-469D-A7BD-63B17BBA6748}"/>
              </c:ext>
            </c:extLst>
          </c:dPt>
          <c:val>
            <c:numRef>
              <c:f>DPCbe!$O$25:$O$27</c:f>
              <c:numCache>
                <c:formatCode>0.00</c:formatCode>
                <c:ptCount val="3"/>
                <c:pt idx="0">
                  <c:v>17.95</c:v>
                </c:pt>
                <c:pt idx="1">
                  <c:v>6.0500000000000007</c:v>
                </c:pt>
                <c:pt idx="2" formatCode="General">
                  <c:v>24</c:v>
                </c:pt>
              </c:numCache>
            </c:numRef>
          </c:val>
          <c:extLst>
            <c:ext xmlns:c16="http://schemas.microsoft.com/office/drawing/2014/chart" uri="{C3380CC4-5D6E-409C-BE32-E72D297353CC}">
              <c16:uniqueId val="{00000006-E850-469D-A7BD-63B17BBA6748}"/>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[TNWeather.xlsm]DPCbe!Min_Max_TempTable</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DPCbe!$B$3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DPCbe!$A$4:$A$18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DPCbe!$B$4:$B$18</c:f>
              <c:numCache>
                <c:formatCode>0.0</c:formatCode>
                <c:ptCount val="15"/>
                <c:pt idx="0">
                  <c:v>22</c:v>
                </c:pt>
                <c:pt idx="1">
                  <c:v>21.2</c:v>
                </c:pt>
                <c:pt idx="2">
                  <c:v>21.5</c:v>
                </c:pt>
                <c:pt idx="3">
                  <c:v>21</c:v>
                </c:pt>
                <c:pt idx="4">
                  <c:v>20.399999999999999</c:v>
                </c:pt>
                <c:pt idx="5">
                  <c:v>20.7</c:v>
                </c:pt>
                <c:pt idx="6">
                  <c:v>22.4</c:v>
                </c:pt>
                <c:pt idx="7">
                  <c:v>20.9</c:v>
                </c:pt>
                <c:pt idx="8">
                  <c:v>20.399999999999999</c:v>
                </c:pt>
                <c:pt idx="9">
                  <c:v>20.2</c:v>
                </c:pt>
                <c:pt idx="10">
                  <c:v>20.399999999999999</c:v>
                </c:pt>
                <c:pt idx="11">
                  <c:v>20.100000000000001</c:v>
                </c:pt>
                <c:pt idx="12">
                  <c:v>20.2</c:v>
                </c:pt>
                <c:pt idx="13">
                  <c:v>19.5</c:v>
                </c:pt>
                <c:pt idx="14">
                  <c:v>20.3</c:v>
                </c:pt>
              </c:numCache>
            </c:numRef>
          </c:val>
          <c:smooth val="0"/>
          <c:extLst>
            <c:ext xmlns:c16="http://schemas.microsoft.com/office/drawing/2014/chart" uri="{C3380CC4-5D6E-409C-BE32-E72D297353CC}">
              <c16:uniqueId val="{00000004-4482-42B7-8DA1-579A2CA5CE59}"/>
            </c:ext>
          </c:extLst>
        </c:ser>
        <c:ser>
          <c:idx val="1"/>
          <c:order val="1"/>
          <c:tx>
            <c:strRef>
              <c:f>DPCbe!$C$3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DPCbe!$A$4:$A$18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DPCbe!$C$4:$C$18</c:f>
              <c:numCache>
                <c:formatCode>0.0</c:formatCode>
                <c:ptCount val="15"/>
                <c:pt idx="0">
                  <c:v>33</c:v>
                </c:pt>
                <c:pt idx="1">
                  <c:v>28.3</c:v>
                </c:pt>
                <c:pt idx="2">
                  <c:v>29.4</c:v>
                </c:pt>
                <c:pt idx="3">
                  <c:v>26.5</c:v>
                </c:pt>
                <c:pt idx="4">
                  <c:v>27.8</c:v>
                </c:pt>
                <c:pt idx="5">
                  <c:v>28.5</c:v>
                </c:pt>
                <c:pt idx="6">
                  <c:v>28.4</c:v>
                </c:pt>
                <c:pt idx="7">
                  <c:v>27.1</c:v>
                </c:pt>
                <c:pt idx="8">
                  <c:v>27.3</c:v>
                </c:pt>
                <c:pt idx="9">
                  <c:v>27.8</c:v>
                </c:pt>
                <c:pt idx="10">
                  <c:v>27.6</c:v>
                </c:pt>
                <c:pt idx="11">
                  <c:v>27.1</c:v>
                </c:pt>
                <c:pt idx="12">
                  <c:v>27.2</c:v>
                </c:pt>
                <c:pt idx="13">
                  <c:v>27.2</c:v>
                </c:pt>
                <c:pt idx="14">
                  <c:v>27.4</c:v>
                </c:pt>
              </c:numCache>
            </c:numRef>
          </c:val>
          <c:smooth val="0"/>
          <c:extLst>
            <c:ext xmlns:c16="http://schemas.microsoft.com/office/drawing/2014/chart" uri="{C3380CC4-5D6E-409C-BE32-E72D297353CC}">
              <c16:uniqueId val="{00000005-4482-42B7-8DA1-579A2CA5CE59}"/>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[TNWeather.xlsm]DPCbe!Wind_Gust_SpeedTable</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8.5423377784838245E-2"/>
          <c:y val="0.17676963699365988"/>
          <c:w val="0.887178099225016"/>
          <c:h val="0.4966094657428658"/>
        </c:manualLayout>
      </c:layout>
      <c:lineChart>
        <c:grouping val="standard"/>
        <c:varyColors val="0"/>
        <c:ser>
          <c:idx val="0"/>
          <c:order val="0"/>
          <c:tx>
            <c:strRef>
              <c:f>DPCbe!$B$24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DPCbe!$A$25:$A$39</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DPCbe!$B$25:$B$39</c:f>
              <c:numCache>
                <c:formatCode>0.0</c:formatCode>
                <c:ptCount val="15"/>
                <c:pt idx="0">
                  <c:v>18.399999999999999</c:v>
                </c:pt>
                <c:pt idx="1">
                  <c:v>14.8</c:v>
                </c:pt>
                <c:pt idx="2">
                  <c:v>18</c:v>
                </c:pt>
                <c:pt idx="3">
                  <c:v>16.600000000000001</c:v>
                </c:pt>
                <c:pt idx="4">
                  <c:v>13.3</c:v>
                </c:pt>
                <c:pt idx="5">
                  <c:v>10.8</c:v>
                </c:pt>
                <c:pt idx="6">
                  <c:v>12.6</c:v>
                </c:pt>
                <c:pt idx="7">
                  <c:v>10.8</c:v>
                </c:pt>
                <c:pt idx="8">
                  <c:v>10.8</c:v>
                </c:pt>
                <c:pt idx="9">
                  <c:v>10.1</c:v>
                </c:pt>
                <c:pt idx="10">
                  <c:v>11.9</c:v>
                </c:pt>
                <c:pt idx="11">
                  <c:v>10.4</c:v>
                </c:pt>
                <c:pt idx="12">
                  <c:v>9.4</c:v>
                </c:pt>
                <c:pt idx="13">
                  <c:v>9.6999999999999993</c:v>
                </c:pt>
                <c:pt idx="14">
                  <c:v>9.6999999999999993</c:v>
                </c:pt>
              </c:numCache>
            </c:numRef>
          </c:val>
          <c:smooth val="0"/>
          <c:extLst>
            <c:ext xmlns:c16="http://schemas.microsoft.com/office/drawing/2014/chart" uri="{C3380CC4-5D6E-409C-BE32-E72D297353CC}">
              <c16:uniqueId val="{00000002-376B-45CC-AA7E-FC9009308D0F}"/>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[TNWeather.xlsm]DPCbe!PrecipTable</c:name>
    <c:fmtId val="8"/>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29379894756361241"/>
          <c:y val="3.2543731906239201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31754108070441"/>
          <c:w val="0.75686916322794817"/>
          <c:h val="0.51915504374493615"/>
        </c:manualLayout>
      </c:layout>
      <c:barChart>
        <c:barDir val="col"/>
        <c:grouping val="clustered"/>
        <c:varyColors val="0"/>
        <c:ser>
          <c:idx val="0"/>
          <c:order val="0"/>
          <c:tx>
            <c:strRef>
              <c:f>DPCbe!$L$3</c:f>
              <c:strCache>
                <c:ptCount val="1"/>
                <c:pt idx="0">
                  <c:v>Precipitation</c:v>
                </c:pt>
              </c:strCache>
            </c:strRef>
          </c:tx>
          <c:spPr>
            <a:solidFill>
              <a:srgbClr val="81D4FA"/>
            </a:solidFill>
            <a:ln>
              <a:noFill/>
            </a:ln>
            <a:effectLst/>
          </c:spPr>
          <c:invertIfNegative val="0"/>
          <c:cat>
            <c:strRef>
              <c:f>DPCbe!$K$4:$K$18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DPCbe!$L$4:$L$18</c:f>
              <c:numCache>
                <c:formatCode>0.0</c:formatCode>
                <c:ptCount val="15"/>
                <c:pt idx="0">
                  <c:v>1.2</c:v>
                </c:pt>
                <c:pt idx="1">
                  <c:v>2.6</c:v>
                </c:pt>
                <c:pt idx="2">
                  <c:v>6.1</c:v>
                </c:pt>
                <c:pt idx="3">
                  <c:v>2</c:v>
                </c:pt>
                <c:pt idx="4">
                  <c:v>8.9</c:v>
                </c:pt>
                <c:pt idx="5">
                  <c:v>16.899999999999999</c:v>
                </c:pt>
                <c:pt idx="6">
                  <c:v>8.6</c:v>
                </c:pt>
                <c:pt idx="7">
                  <c:v>0.4</c:v>
                </c:pt>
                <c:pt idx="8">
                  <c:v>0.3</c:v>
                </c:pt>
                <c:pt idx="9">
                  <c:v>0.1</c:v>
                </c:pt>
                <c:pt idx="10">
                  <c:v>0.1</c:v>
                </c:pt>
                <c:pt idx="11">
                  <c:v>0.2</c:v>
                </c:pt>
                <c:pt idx="12">
                  <c:v>0.3</c:v>
                </c:pt>
                <c:pt idx="13">
                  <c:v>0.1</c:v>
                </c:pt>
                <c:pt idx="14">
                  <c:v>0</c:v>
                </c:pt>
              </c:numCache>
            </c:numRef>
          </c:val>
          <c:extLst>
            <c:ext xmlns:c16="http://schemas.microsoft.com/office/drawing/2014/chart" uri="{C3380CC4-5D6E-409C-BE32-E72D297353CC}">
              <c16:uniqueId val="{00000004-FC11-4A81-8650-AF67F0E63743}"/>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DPCbe!$M$3</c:f>
              <c:strCache>
                <c:ptCount val="1"/>
                <c:pt idx="0">
                  <c:v>Precip-Prob</c:v>
                </c:pt>
              </c:strCache>
            </c:strRef>
          </c:tx>
          <c:spPr>
            <a:ln w="28575" cap="rnd">
              <a:solidFill>
                <a:srgbClr val="00B0F0"/>
              </a:solidFill>
              <a:round/>
            </a:ln>
            <a:effectLst/>
          </c:spPr>
          <c:marker>
            <c:symbol val="none"/>
          </c:marker>
          <c:cat>
            <c:strRef>
              <c:f>DPCbe!$K$4:$K$18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DPCbe!$M$4:$M$18</c:f>
              <c:numCache>
                <c:formatCode>0.0</c:formatCode>
                <c:ptCount val="15"/>
                <c:pt idx="0">
                  <c:v>100</c:v>
                </c:pt>
                <c:pt idx="1">
                  <c:v>96.8</c:v>
                </c:pt>
                <c:pt idx="2">
                  <c:v>96.8</c:v>
                </c:pt>
                <c:pt idx="3">
                  <c:v>48.4</c:v>
                </c:pt>
                <c:pt idx="4">
                  <c:v>12.9</c:v>
                </c:pt>
                <c:pt idx="5">
                  <c:v>48.4</c:v>
                </c:pt>
                <c:pt idx="6">
                  <c:v>67.7</c:v>
                </c:pt>
                <c:pt idx="7">
                  <c:v>71</c:v>
                </c:pt>
                <c:pt idx="8">
                  <c:v>71</c:v>
                </c:pt>
                <c:pt idx="9">
                  <c:v>45.2</c:v>
                </c:pt>
                <c:pt idx="10">
                  <c:v>38.700000000000003</c:v>
                </c:pt>
                <c:pt idx="11">
                  <c:v>19.399999999999999</c:v>
                </c:pt>
                <c:pt idx="12">
                  <c:v>9.6999999999999993</c:v>
                </c:pt>
                <c:pt idx="13">
                  <c:v>16.100000000000001</c:v>
                </c:pt>
                <c:pt idx="14">
                  <c:v>19.399999999999999</c:v>
                </c:pt>
              </c:numCache>
            </c:numRef>
          </c:val>
          <c:smooth val="0"/>
          <c:extLst>
            <c:ext xmlns:c16="http://schemas.microsoft.com/office/drawing/2014/chart" uri="{C3380CC4-5D6E-409C-BE32-E72D297353CC}">
              <c16:uniqueId val="{00000005-FC11-4A81-8650-AF67F0E63743}"/>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187732399727087"/>
          <c:y val="0.13004633015957387"/>
          <c:w val="0.47742915485380044"/>
          <c:h val="8.4845840785799417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6556791431261767"/>
          <c:y val="9.11517615176151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4C70-439F-BE6C-86734B1CA595}"/>
              </c:ext>
            </c:extLst>
          </c:dPt>
          <c:dPt>
            <c:idx val="1"/>
            <c:bubble3D val="0"/>
            <c:spPr>
              <a:solidFill>
                <a:srgbClr val="E6EEF5"/>
              </a:solidFill>
              <a:ln w="19050">
                <a:noFill/>
              </a:ln>
              <a:effectLst/>
            </c:spPr>
            <c:extLst>
              <c:ext xmlns:c16="http://schemas.microsoft.com/office/drawing/2014/chart" uri="{C3380CC4-5D6E-409C-BE32-E72D297353CC}">
                <c16:uniqueId val="{00000003-4C70-439F-BE6C-86734B1CA595}"/>
              </c:ext>
            </c:extLst>
          </c:dPt>
          <c:dPt>
            <c:idx val="2"/>
            <c:bubble3D val="0"/>
            <c:spPr>
              <a:noFill/>
              <a:ln w="19050">
                <a:noFill/>
              </a:ln>
              <a:effectLst/>
            </c:spPr>
            <c:extLst>
              <c:ext xmlns:c16="http://schemas.microsoft.com/office/drawing/2014/chart" uri="{C3380CC4-5D6E-409C-BE32-E72D297353CC}">
                <c16:uniqueId val="{00000005-4C70-439F-BE6C-86734B1CA595}"/>
              </c:ext>
            </c:extLst>
          </c:dPt>
          <c:val>
            <c:numRef>
              <c:f>DPMdi!$G$24:$G$26</c:f>
              <c:numCache>
                <c:formatCode>0.0</c:formatCode>
                <c:ptCount val="3"/>
                <c:pt idx="0">
                  <c:v>65.8</c:v>
                </c:pt>
                <c:pt idx="1">
                  <c:v>34.200000000000003</c:v>
                </c:pt>
                <c:pt idx="2" formatCode="General">
                  <c:v>100</c:v>
                </c:pt>
              </c:numCache>
            </c:numRef>
          </c:val>
          <c:extLst>
            <c:ext xmlns:c16="http://schemas.microsoft.com/office/drawing/2014/chart" uri="{C3380CC4-5D6E-409C-BE32-E72D297353CC}">
              <c16:uniqueId val="{00000006-4C70-439F-BE6C-86734B1CA595}"/>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layout>
        <c:manualLayout>
          <c:xMode val="edge"/>
          <c:yMode val="edge"/>
          <c:x val="0.27359051318267419"/>
          <c:y val="8.60433604336043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10B9-4AC2-90B8-8A6D3FF62447}"/>
              </c:ext>
            </c:extLst>
          </c:dPt>
          <c:dPt>
            <c:idx val="1"/>
            <c:bubble3D val="0"/>
            <c:spPr>
              <a:solidFill>
                <a:srgbClr val="FEF8E8"/>
              </a:solidFill>
              <a:ln w="19050">
                <a:noFill/>
              </a:ln>
              <a:effectLst/>
            </c:spPr>
            <c:extLst>
              <c:ext xmlns:c16="http://schemas.microsoft.com/office/drawing/2014/chart" uri="{C3380CC4-5D6E-409C-BE32-E72D297353CC}">
                <c16:uniqueId val="{00000003-10B9-4AC2-90B8-8A6D3FF62447}"/>
              </c:ext>
            </c:extLst>
          </c:dPt>
          <c:dPt>
            <c:idx val="2"/>
            <c:bubble3D val="0"/>
            <c:spPr>
              <a:noFill/>
              <a:ln w="19050">
                <a:noFill/>
              </a:ln>
              <a:effectLst/>
            </c:spPr>
            <c:extLst>
              <c:ext xmlns:c16="http://schemas.microsoft.com/office/drawing/2014/chart" uri="{C3380CC4-5D6E-409C-BE32-E72D297353CC}">
                <c16:uniqueId val="{00000005-10B9-4AC2-90B8-8A6D3FF62447}"/>
              </c:ext>
            </c:extLst>
          </c:dPt>
          <c:val>
            <c:numRef>
              <c:f>DPMdi!$H$24:$H$26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10B9-4AC2-90B8-8A6D3FF62447}"/>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layout>
        <c:manualLayout>
          <c:xMode val="edge"/>
          <c:yMode val="edge"/>
          <c:x val="0.31107285781544258"/>
          <c:y val="7.88730803974706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4D60-4761-BC8C-1E803BB02BF2}"/>
              </c:ext>
            </c:extLst>
          </c:dPt>
          <c:dPt>
            <c:idx val="1"/>
            <c:bubble3D val="0"/>
            <c:spPr>
              <a:solidFill>
                <a:srgbClr val="FFF0D9"/>
              </a:solidFill>
              <a:ln w="19050">
                <a:noFill/>
              </a:ln>
              <a:effectLst/>
            </c:spPr>
            <c:extLst>
              <c:ext xmlns:c16="http://schemas.microsoft.com/office/drawing/2014/chart" uri="{C3380CC4-5D6E-409C-BE32-E72D297353CC}">
                <c16:uniqueId val="{00000003-4D60-4761-BC8C-1E803BB02BF2}"/>
              </c:ext>
            </c:extLst>
          </c:dPt>
          <c:dPt>
            <c:idx val="2"/>
            <c:bubble3D val="0"/>
            <c:spPr>
              <a:noFill/>
              <a:ln w="19050">
                <a:noFill/>
              </a:ln>
              <a:effectLst/>
            </c:spPr>
            <c:extLst>
              <c:ext xmlns:c16="http://schemas.microsoft.com/office/drawing/2014/chart" uri="{C3380CC4-5D6E-409C-BE32-E72D297353CC}">
                <c16:uniqueId val="{00000005-4D60-4761-BC8C-1E803BB02BF2}"/>
              </c:ext>
            </c:extLst>
          </c:dPt>
          <c:val>
            <c:numRef>
              <c:f>DPMdi!$O$25:$O$27</c:f>
              <c:numCache>
                <c:formatCode>0.00</c:formatCode>
                <c:ptCount val="3"/>
                <c:pt idx="0">
                  <c:v>17.883333333333333</c:v>
                </c:pt>
                <c:pt idx="1">
                  <c:v>6.1166666666666671</c:v>
                </c:pt>
                <c:pt idx="2" formatCode="General">
                  <c:v>24</c:v>
                </c:pt>
              </c:numCache>
            </c:numRef>
          </c:val>
          <c:extLst>
            <c:ext xmlns:c16="http://schemas.microsoft.com/office/drawing/2014/chart" uri="{C3380CC4-5D6E-409C-BE32-E72D297353CC}">
              <c16:uniqueId val="{00000006-4D60-4761-BC8C-1E803BB02BF2}"/>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1826683145009416"/>
          <c:y val="9.288843654301984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BDFD-442F-8277-B5B108E03A09}"/>
              </c:ext>
            </c:extLst>
          </c:dPt>
          <c:dPt>
            <c:idx val="1"/>
            <c:bubble3D val="0"/>
            <c:spPr>
              <a:solidFill>
                <a:srgbClr val="FFF0D9"/>
              </a:solidFill>
              <a:ln w="19050">
                <a:noFill/>
              </a:ln>
              <a:effectLst/>
            </c:spPr>
            <c:extLst>
              <c:ext xmlns:c16="http://schemas.microsoft.com/office/drawing/2014/chart" uri="{C3380CC4-5D6E-409C-BE32-E72D297353CC}">
                <c16:uniqueId val="{00000003-BDFD-442F-8277-B5B108E03A09}"/>
              </c:ext>
            </c:extLst>
          </c:dPt>
          <c:dPt>
            <c:idx val="2"/>
            <c:bubble3D val="0"/>
            <c:spPr>
              <a:noFill/>
              <a:ln w="19050">
                <a:noFill/>
              </a:ln>
              <a:effectLst/>
            </c:spPr>
            <c:extLst>
              <c:ext xmlns:c16="http://schemas.microsoft.com/office/drawing/2014/chart" uri="{C3380CC4-5D6E-409C-BE32-E72D297353CC}">
                <c16:uniqueId val="{00000005-BDFD-442F-8277-B5B108E03A09}"/>
              </c:ext>
            </c:extLst>
          </c:dPt>
          <c:val>
            <c:numRef>
              <c:f>DPMdi!$N$25:$N$27</c:f>
              <c:numCache>
                <c:formatCode>0.00</c:formatCode>
                <c:ptCount val="3"/>
                <c:pt idx="0">
                  <c:v>6.1333333333333337</c:v>
                </c:pt>
                <c:pt idx="1">
                  <c:v>17.866666666666667</c:v>
                </c:pt>
                <c:pt idx="2">
                  <c:v>24</c:v>
                </c:pt>
              </c:numCache>
            </c:numRef>
          </c:val>
          <c:extLst>
            <c:ext xmlns:c16="http://schemas.microsoft.com/office/drawing/2014/chart" uri="{C3380CC4-5D6E-409C-BE32-E72D297353CC}">
              <c16:uniqueId val="{00000006-BDFD-442F-8277-B5B108E03A09}"/>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[TNWeather.xlsm]DPMdi!Min_Max_TempTable</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18276200988515862"/>
          <c:y val="3.51665982981581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DPMdi!$B$3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DPMdi!$A$4:$A$18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DPMdi!$B$4:$B$18</c:f>
              <c:numCache>
                <c:formatCode>0.0</c:formatCode>
                <c:ptCount val="15"/>
                <c:pt idx="0">
                  <c:v>25</c:v>
                </c:pt>
                <c:pt idx="1">
                  <c:v>24</c:v>
                </c:pt>
                <c:pt idx="2">
                  <c:v>23.4</c:v>
                </c:pt>
                <c:pt idx="3">
                  <c:v>21.7</c:v>
                </c:pt>
                <c:pt idx="4">
                  <c:v>23.4</c:v>
                </c:pt>
                <c:pt idx="5">
                  <c:v>22.9</c:v>
                </c:pt>
                <c:pt idx="6">
                  <c:v>23.9</c:v>
                </c:pt>
                <c:pt idx="7">
                  <c:v>23.1</c:v>
                </c:pt>
                <c:pt idx="8">
                  <c:v>23.8</c:v>
                </c:pt>
                <c:pt idx="9">
                  <c:v>23.2</c:v>
                </c:pt>
                <c:pt idx="10">
                  <c:v>23.1</c:v>
                </c:pt>
                <c:pt idx="11">
                  <c:v>21.9</c:v>
                </c:pt>
                <c:pt idx="12">
                  <c:v>21.3</c:v>
                </c:pt>
                <c:pt idx="13">
                  <c:v>22.1</c:v>
                </c:pt>
                <c:pt idx="14">
                  <c:v>21.4</c:v>
                </c:pt>
              </c:numCache>
            </c:numRef>
          </c:val>
          <c:smooth val="0"/>
          <c:extLst>
            <c:ext xmlns:c16="http://schemas.microsoft.com/office/drawing/2014/chart" uri="{C3380CC4-5D6E-409C-BE32-E72D297353CC}">
              <c16:uniqueId val="{00000004-5547-4A85-84A4-D7B7FEAE0FC7}"/>
            </c:ext>
          </c:extLst>
        </c:ser>
        <c:ser>
          <c:idx val="1"/>
          <c:order val="1"/>
          <c:tx>
            <c:strRef>
              <c:f>DPMdi!$C$3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DPMdi!$A$4:$A$18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DPMdi!$C$4:$C$18</c:f>
              <c:numCache>
                <c:formatCode>0.0</c:formatCode>
                <c:ptCount val="15"/>
                <c:pt idx="0">
                  <c:v>36</c:v>
                </c:pt>
                <c:pt idx="1">
                  <c:v>31.1</c:v>
                </c:pt>
                <c:pt idx="2">
                  <c:v>31.4</c:v>
                </c:pt>
                <c:pt idx="3">
                  <c:v>29.4</c:v>
                </c:pt>
                <c:pt idx="4">
                  <c:v>31</c:v>
                </c:pt>
                <c:pt idx="5">
                  <c:v>30.5</c:v>
                </c:pt>
                <c:pt idx="6">
                  <c:v>28.4</c:v>
                </c:pt>
                <c:pt idx="7">
                  <c:v>28.3</c:v>
                </c:pt>
                <c:pt idx="8">
                  <c:v>28.9</c:v>
                </c:pt>
                <c:pt idx="9">
                  <c:v>28.6</c:v>
                </c:pt>
                <c:pt idx="10">
                  <c:v>28.4</c:v>
                </c:pt>
                <c:pt idx="11">
                  <c:v>28</c:v>
                </c:pt>
                <c:pt idx="12">
                  <c:v>28.7</c:v>
                </c:pt>
                <c:pt idx="13">
                  <c:v>28.7</c:v>
                </c:pt>
                <c:pt idx="14">
                  <c:v>29.1</c:v>
                </c:pt>
              </c:numCache>
            </c:numRef>
          </c:val>
          <c:smooth val="0"/>
          <c:extLst>
            <c:ext xmlns:c16="http://schemas.microsoft.com/office/drawing/2014/chart" uri="{C3380CC4-5D6E-409C-BE32-E72D297353CC}">
              <c16:uniqueId val="{00000005-5547-4A85-84A4-D7B7FEAE0FC7}"/>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layout>
        <c:manualLayout>
          <c:xMode val="edge"/>
          <c:yMode val="edge"/>
          <c:x val="0.21548215856415842"/>
          <c:y val="0.15872715110600732"/>
          <c:w val="0.42204837570209719"/>
          <c:h val="8.7530103364402909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[TNWeather.xlsm]DPMdi!Wind_Gust_SpeedTable</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0109611298587677"/>
          <c:y val="0.17676963699365988"/>
          <c:w val="0.86875365579302588"/>
          <c:h val="0.50736907409929333"/>
        </c:manualLayout>
      </c:layout>
      <c:lineChart>
        <c:grouping val="standard"/>
        <c:varyColors val="0"/>
        <c:ser>
          <c:idx val="0"/>
          <c:order val="0"/>
          <c:tx>
            <c:strRef>
              <c:f>DPMdi!$B$24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DPMdi!$A$25:$A$39</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DPMdi!$B$25:$B$39</c:f>
              <c:numCache>
                <c:formatCode>0.0</c:formatCode>
                <c:ptCount val="15"/>
                <c:pt idx="0">
                  <c:v>14.8</c:v>
                </c:pt>
                <c:pt idx="1">
                  <c:v>11.9</c:v>
                </c:pt>
                <c:pt idx="2">
                  <c:v>11.2</c:v>
                </c:pt>
                <c:pt idx="3">
                  <c:v>12.2</c:v>
                </c:pt>
                <c:pt idx="4">
                  <c:v>9.4</c:v>
                </c:pt>
                <c:pt idx="5">
                  <c:v>9</c:v>
                </c:pt>
                <c:pt idx="6">
                  <c:v>8.5</c:v>
                </c:pt>
                <c:pt idx="7">
                  <c:v>9.4</c:v>
                </c:pt>
                <c:pt idx="8">
                  <c:v>8.6</c:v>
                </c:pt>
                <c:pt idx="9">
                  <c:v>7.2</c:v>
                </c:pt>
                <c:pt idx="10">
                  <c:v>13</c:v>
                </c:pt>
                <c:pt idx="11">
                  <c:v>9.6999999999999993</c:v>
                </c:pt>
                <c:pt idx="12">
                  <c:v>9.6999999999999993</c:v>
                </c:pt>
                <c:pt idx="13">
                  <c:v>9.4</c:v>
                </c:pt>
                <c:pt idx="14">
                  <c:v>8.9</c:v>
                </c:pt>
              </c:numCache>
            </c:numRef>
          </c:val>
          <c:smooth val="0"/>
          <c:extLst>
            <c:ext xmlns:c16="http://schemas.microsoft.com/office/drawing/2014/chart" uri="{C3380CC4-5D6E-409C-BE32-E72D297353CC}">
              <c16:uniqueId val="{00000002-57A0-4235-918E-6A9D38C738ED}"/>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[TNWeather.xlsm]DPMdi!PrecipTable</c:name>
    <c:fmtId val="9"/>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29688652127415188"/>
          <c:y val="2.3295404749805626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0370370370370369"/>
          <c:w val="0.76263643996641473"/>
          <c:h val="0.54720545348498106"/>
        </c:manualLayout>
      </c:layout>
      <c:barChart>
        <c:barDir val="col"/>
        <c:grouping val="clustered"/>
        <c:varyColors val="0"/>
        <c:ser>
          <c:idx val="0"/>
          <c:order val="0"/>
          <c:tx>
            <c:strRef>
              <c:f>DPMdi!$L$3</c:f>
              <c:strCache>
                <c:ptCount val="1"/>
                <c:pt idx="0">
                  <c:v>Precipitation</c:v>
                </c:pt>
              </c:strCache>
            </c:strRef>
          </c:tx>
          <c:spPr>
            <a:solidFill>
              <a:srgbClr val="81D4FA"/>
            </a:solidFill>
            <a:ln>
              <a:noFill/>
            </a:ln>
            <a:effectLst/>
          </c:spPr>
          <c:invertIfNegative val="0"/>
          <c:cat>
            <c:strRef>
              <c:f>DPMdi!$K$4:$K$18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DPMdi!$L$4:$L$18</c:f>
              <c:numCache>
                <c:formatCode>0.0</c:formatCode>
                <c:ptCount val="15"/>
                <c:pt idx="0">
                  <c:v>1.8</c:v>
                </c:pt>
                <c:pt idx="1">
                  <c:v>2</c:v>
                </c:pt>
                <c:pt idx="2">
                  <c:v>21.6</c:v>
                </c:pt>
                <c:pt idx="3">
                  <c:v>7.1</c:v>
                </c:pt>
                <c:pt idx="4">
                  <c:v>3.4</c:v>
                </c:pt>
                <c:pt idx="5">
                  <c:v>8.1</c:v>
                </c:pt>
                <c:pt idx="6">
                  <c:v>18.899999999999999</c:v>
                </c:pt>
                <c:pt idx="7">
                  <c:v>1.6</c:v>
                </c:pt>
                <c:pt idx="8">
                  <c:v>1.4</c:v>
                </c:pt>
                <c:pt idx="9">
                  <c:v>1.4</c:v>
                </c:pt>
                <c:pt idx="10">
                  <c:v>0.1</c:v>
                </c:pt>
                <c:pt idx="11">
                  <c:v>0</c:v>
                </c:pt>
                <c:pt idx="12">
                  <c:v>0</c:v>
                </c:pt>
                <c:pt idx="13">
                  <c:v>0.1</c:v>
                </c:pt>
                <c:pt idx="14">
                  <c:v>0.1</c:v>
                </c:pt>
              </c:numCache>
            </c:numRef>
          </c:val>
          <c:extLst>
            <c:ext xmlns:c16="http://schemas.microsoft.com/office/drawing/2014/chart" uri="{C3380CC4-5D6E-409C-BE32-E72D297353CC}">
              <c16:uniqueId val="{00000004-9BE8-4F8F-BA26-A355981A518A}"/>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DPMdi!$M$3</c:f>
              <c:strCache>
                <c:ptCount val="1"/>
                <c:pt idx="0">
                  <c:v>Precip-Prob</c:v>
                </c:pt>
              </c:strCache>
            </c:strRef>
          </c:tx>
          <c:spPr>
            <a:ln w="28575" cap="rnd">
              <a:solidFill>
                <a:srgbClr val="00B0F0"/>
              </a:solidFill>
              <a:round/>
            </a:ln>
            <a:effectLst/>
          </c:spPr>
          <c:marker>
            <c:symbol val="none"/>
          </c:marker>
          <c:cat>
            <c:strRef>
              <c:f>DPMdi!$K$4:$K$18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DPMdi!$M$4:$M$18</c:f>
              <c:numCache>
                <c:formatCode>0.0</c:formatCode>
                <c:ptCount val="15"/>
                <c:pt idx="0">
                  <c:v>38.700000000000003</c:v>
                </c:pt>
                <c:pt idx="1">
                  <c:v>67.7</c:v>
                </c:pt>
                <c:pt idx="2">
                  <c:v>96.8</c:v>
                </c:pt>
                <c:pt idx="3">
                  <c:v>77.400000000000006</c:v>
                </c:pt>
                <c:pt idx="4">
                  <c:v>16.100000000000001</c:v>
                </c:pt>
                <c:pt idx="5">
                  <c:v>45.2</c:v>
                </c:pt>
                <c:pt idx="6">
                  <c:v>64.5</c:v>
                </c:pt>
                <c:pt idx="7">
                  <c:v>77.400000000000006</c:v>
                </c:pt>
                <c:pt idx="8">
                  <c:v>61.3</c:v>
                </c:pt>
                <c:pt idx="9">
                  <c:v>58.1</c:v>
                </c:pt>
                <c:pt idx="10">
                  <c:v>32.299999999999997</c:v>
                </c:pt>
                <c:pt idx="11">
                  <c:v>12.9</c:v>
                </c:pt>
                <c:pt idx="12">
                  <c:v>12.9</c:v>
                </c:pt>
                <c:pt idx="13">
                  <c:v>9.6999999999999993</c:v>
                </c:pt>
                <c:pt idx="14">
                  <c:v>16.100000000000001</c:v>
                </c:pt>
              </c:numCache>
            </c:numRef>
          </c:val>
          <c:smooth val="0"/>
          <c:extLst>
            <c:ext xmlns:c16="http://schemas.microsoft.com/office/drawing/2014/chart" uri="{C3380CC4-5D6E-409C-BE32-E72D297353CC}">
              <c16:uniqueId val="{00000005-9BE8-4F8F-BA26-A355981A518A}"/>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1605533461732263"/>
          <c:y val="0.13004623122079986"/>
          <c:w val="0.47590519265247683"/>
          <c:h val="8.3249982084563912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Humidity</a:t>
            </a:r>
          </a:p>
        </c:rich>
      </c:tx>
      <c:layout>
        <c:manualLayout>
          <c:xMode val="edge"/>
          <c:yMode val="edge"/>
          <c:x val="0.27304201977401127"/>
          <c:y val="6.24706413730804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80CBC4"/>
              </a:solidFill>
              <a:ln w="19050">
                <a:noFill/>
              </a:ln>
              <a:effectLst/>
            </c:spPr>
            <c:extLst>
              <c:ext xmlns:c16="http://schemas.microsoft.com/office/drawing/2014/chart" uri="{C3380CC4-5D6E-409C-BE32-E72D297353CC}">
                <c16:uniqueId val="{00000001-7514-42BC-B8F0-264960273B2E}"/>
              </c:ext>
            </c:extLst>
          </c:dPt>
          <c:dPt>
            <c:idx val="1"/>
            <c:bubble3D val="0"/>
            <c:spPr>
              <a:solidFill>
                <a:srgbClr val="E6EEF5"/>
              </a:solidFill>
              <a:ln w="19050">
                <a:noFill/>
              </a:ln>
              <a:effectLst/>
            </c:spPr>
            <c:extLst>
              <c:ext xmlns:c16="http://schemas.microsoft.com/office/drawing/2014/chart" uri="{C3380CC4-5D6E-409C-BE32-E72D297353CC}">
                <c16:uniqueId val="{00000003-7514-42BC-B8F0-264960273B2E}"/>
              </c:ext>
            </c:extLst>
          </c:dPt>
          <c:dPt>
            <c:idx val="2"/>
            <c:bubble3D val="0"/>
            <c:spPr>
              <a:noFill/>
              <a:ln w="19050">
                <a:noFill/>
              </a:ln>
              <a:effectLst/>
            </c:spPr>
            <c:extLst>
              <c:ext xmlns:c16="http://schemas.microsoft.com/office/drawing/2014/chart" uri="{C3380CC4-5D6E-409C-BE32-E72D297353CC}">
                <c16:uniqueId val="{00000005-7514-42BC-B8F0-264960273B2E}"/>
              </c:ext>
            </c:extLst>
          </c:dPt>
          <c:val>
            <c:numRef>
              <c:f>DPTri!$G$24:$G$26</c:f>
              <c:numCache>
                <c:formatCode>0.0</c:formatCode>
                <c:ptCount val="3"/>
                <c:pt idx="0">
                  <c:v>73.8</c:v>
                </c:pt>
                <c:pt idx="1">
                  <c:v>26.200000000000003</c:v>
                </c:pt>
                <c:pt idx="2" formatCode="General">
                  <c:v>100</c:v>
                </c:pt>
              </c:numCache>
            </c:numRef>
          </c:val>
          <c:extLst>
            <c:ext xmlns:c16="http://schemas.microsoft.com/office/drawing/2014/chart" uri="{C3380CC4-5D6E-409C-BE32-E72D297353CC}">
              <c16:uniqueId val="{00000006-7514-42BC-B8F0-264960273B2E}"/>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UV</a:t>
            </a:r>
            <a:r>
              <a:rPr lang="en-IN" b="1" baseline="0">
                <a:solidFill>
                  <a:srgbClr val="1D2B38"/>
                </a:solidFill>
                <a:latin typeface="Source Sans Pro" panose="020B0503030403020204" pitchFamily="34" charset="0"/>
                <a:ea typeface="Source Sans Pro" panose="020B0503030403020204" pitchFamily="34" charset="0"/>
              </a:rPr>
              <a:t> Index</a:t>
            </a:r>
          </a:p>
        </c:rich>
      </c:tx>
      <c:layout>
        <c:manualLayout>
          <c:xMode val="edge"/>
          <c:yMode val="edge"/>
          <c:x val="0.27359051318267419"/>
          <c:y val="9.32136404697380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E082"/>
              </a:solidFill>
              <a:ln w="19050">
                <a:noFill/>
              </a:ln>
              <a:effectLst/>
            </c:spPr>
            <c:extLst>
              <c:ext xmlns:c16="http://schemas.microsoft.com/office/drawing/2014/chart" uri="{C3380CC4-5D6E-409C-BE32-E72D297353CC}">
                <c16:uniqueId val="{00000001-A5CF-4586-9867-B3492D94EEB1}"/>
              </c:ext>
            </c:extLst>
          </c:dPt>
          <c:dPt>
            <c:idx val="1"/>
            <c:bubble3D val="0"/>
            <c:spPr>
              <a:solidFill>
                <a:srgbClr val="FEF8E8"/>
              </a:solidFill>
              <a:ln w="19050">
                <a:noFill/>
              </a:ln>
              <a:effectLst/>
            </c:spPr>
            <c:extLst>
              <c:ext xmlns:c16="http://schemas.microsoft.com/office/drawing/2014/chart" uri="{C3380CC4-5D6E-409C-BE32-E72D297353CC}">
                <c16:uniqueId val="{00000003-A5CF-4586-9867-B3492D94EEB1}"/>
              </c:ext>
            </c:extLst>
          </c:dPt>
          <c:dPt>
            <c:idx val="2"/>
            <c:bubble3D val="0"/>
            <c:spPr>
              <a:noFill/>
              <a:ln w="19050">
                <a:noFill/>
              </a:ln>
              <a:effectLst/>
            </c:spPr>
            <c:extLst>
              <c:ext xmlns:c16="http://schemas.microsoft.com/office/drawing/2014/chart" uri="{C3380CC4-5D6E-409C-BE32-E72D297353CC}">
                <c16:uniqueId val="{00000005-A5CF-4586-9867-B3492D94EEB1}"/>
              </c:ext>
            </c:extLst>
          </c:dPt>
          <c:val>
            <c:numRef>
              <c:f>DPTri!$H$24:$H$26</c:f>
              <c:numCache>
                <c:formatCode>General</c:formatCode>
                <c:ptCount val="3"/>
                <c:pt idx="0" formatCode="0">
                  <c:v>9</c:v>
                </c:pt>
                <c:pt idx="1">
                  <c:v>1</c:v>
                </c:pt>
                <c:pt idx="2">
                  <c:v>10</c:v>
                </c:pt>
              </c:numCache>
            </c:numRef>
          </c:val>
          <c:extLst>
            <c:ext xmlns:c16="http://schemas.microsoft.com/office/drawing/2014/chart" uri="{C3380CC4-5D6E-409C-BE32-E72D297353CC}">
              <c16:uniqueId val="{00000006-A5CF-4586-9867-B3492D94EEB1}"/>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Sunrise</a:t>
            </a:r>
          </a:p>
        </c:rich>
      </c:tx>
      <c:layout>
        <c:manualLayout>
          <c:xMode val="edge"/>
          <c:yMode val="edge"/>
          <c:x val="0.30331862052730696"/>
          <c:y val="9.321364046973802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1041-4FE2-AD4A-C16ECAF7F08A}"/>
              </c:ext>
            </c:extLst>
          </c:dPt>
          <c:dPt>
            <c:idx val="1"/>
            <c:bubble3D val="0"/>
            <c:spPr>
              <a:solidFill>
                <a:srgbClr val="FFF0D9"/>
              </a:solidFill>
              <a:ln w="19050">
                <a:noFill/>
              </a:ln>
              <a:effectLst/>
            </c:spPr>
            <c:extLst>
              <c:ext xmlns:c16="http://schemas.microsoft.com/office/drawing/2014/chart" uri="{C3380CC4-5D6E-409C-BE32-E72D297353CC}">
                <c16:uniqueId val="{00000003-1041-4FE2-AD4A-C16ECAF7F08A}"/>
              </c:ext>
            </c:extLst>
          </c:dPt>
          <c:dPt>
            <c:idx val="2"/>
            <c:bubble3D val="0"/>
            <c:spPr>
              <a:noFill/>
              <a:ln w="19050">
                <a:noFill/>
              </a:ln>
              <a:effectLst/>
            </c:spPr>
            <c:extLst>
              <c:ext xmlns:c16="http://schemas.microsoft.com/office/drawing/2014/chart" uri="{C3380CC4-5D6E-409C-BE32-E72D297353CC}">
                <c16:uniqueId val="{00000005-1041-4FE2-AD4A-C16ECAF7F08A}"/>
              </c:ext>
            </c:extLst>
          </c:dPt>
          <c:val>
            <c:numRef>
              <c:f>DPTri!$N$25:$N$27</c:f>
              <c:numCache>
                <c:formatCode>0.00</c:formatCode>
                <c:ptCount val="3"/>
                <c:pt idx="0">
                  <c:v>6.1166666666666663</c:v>
                </c:pt>
                <c:pt idx="1">
                  <c:v>17.883333333333333</c:v>
                </c:pt>
                <c:pt idx="2">
                  <c:v>24</c:v>
                </c:pt>
              </c:numCache>
            </c:numRef>
          </c:val>
          <c:extLst>
            <c:ext xmlns:c16="http://schemas.microsoft.com/office/drawing/2014/chart" uri="{C3380CC4-5D6E-409C-BE32-E72D297353CC}">
              <c16:uniqueId val="{00000006-1041-4FE2-AD4A-C16ECAF7F08A}"/>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1D2B38"/>
                </a:solidFill>
                <a:latin typeface="Source Sans Pro" panose="020B0503030403020204" pitchFamily="34" charset="0"/>
                <a:ea typeface="Source Sans Pro" panose="020B0503030403020204" pitchFamily="34" charset="0"/>
              </a:rPr>
              <a:t>Sunset</a:t>
            </a:r>
          </a:p>
        </c:rich>
      </c:tx>
      <c:layout>
        <c:manualLayout>
          <c:xMode val="edge"/>
          <c:yMode val="edge"/>
          <c:x val="0.31854696327683618"/>
          <c:y val="0.107554200542005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solidFill>
                <a:srgbClr val="FFA726"/>
              </a:solidFill>
              <a:ln w="19050">
                <a:noFill/>
              </a:ln>
              <a:effectLst/>
            </c:spPr>
            <c:extLst>
              <c:ext xmlns:c16="http://schemas.microsoft.com/office/drawing/2014/chart" uri="{C3380CC4-5D6E-409C-BE32-E72D297353CC}">
                <c16:uniqueId val="{00000001-82B4-42D1-8D76-10088F3C97F5}"/>
              </c:ext>
            </c:extLst>
          </c:dPt>
          <c:dPt>
            <c:idx val="1"/>
            <c:bubble3D val="0"/>
            <c:spPr>
              <a:solidFill>
                <a:srgbClr val="FFF0D9"/>
              </a:solidFill>
              <a:ln w="19050">
                <a:noFill/>
              </a:ln>
              <a:effectLst/>
            </c:spPr>
            <c:extLst>
              <c:ext xmlns:c16="http://schemas.microsoft.com/office/drawing/2014/chart" uri="{C3380CC4-5D6E-409C-BE32-E72D297353CC}">
                <c16:uniqueId val="{00000003-82B4-42D1-8D76-10088F3C97F5}"/>
              </c:ext>
            </c:extLst>
          </c:dPt>
          <c:dPt>
            <c:idx val="2"/>
            <c:bubble3D val="0"/>
            <c:spPr>
              <a:noFill/>
              <a:ln w="19050">
                <a:noFill/>
              </a:ln>
              <a:effectLst/>
            </c:spPr>
            <c:extLst>
              <c:ext xmlns:c16="http://schemas.microsoft.com/office/drawing/2014/chart" uri="{C3380CC4-5D6E-409C-BE32-E72D297353CC}">
                <c16:uniqueId val="{00000005-82B4-42D1-8D76-10088F3C97F5}"/>
              </c:ext>
            </c:extLst>
          </c:dPt>
          <c:val>
            <c:numRef>
              <c:f>DPTri!$O$25:$O$27</c:f>
              <c:numCache>
                <c:formatCode>0.00</c:formatCode>
                <c:ptCount val="3"/>
                <c:pt idx="0">
                  <c:v>17.833333333333332</c:v>
                </c:pt>
                <c:pt idx="1">
                  <c:v>6.1666666666666679</c:v>
                </c:pt>
                <c:pt idx="2" formatCode="General">
                  <c:v>24</c:v>
                </c:pt>
              </c:numCache>
            </c:numRef>
          </c:val>
          <c:extLst>
            <c:ext xmlns:c16="http://schemas.microsoft.com/office/drawing/2014/chart" uri="{C3380CC4-5D6E-409C-BE32-E72D297353CC}">
              <c16:uniqueId val="{00000006-82B4-42D1-8D76-10088F3C97F5}"/>
            </c:ext>
          </c:extLst>
        </c:ser>
        <c:dLbls>
          <c:showLegendKey val="0"/>
          <c:showVal val="0"/>
          <c:showCatName val="0"/>
          <c:showSerName val="0"/>
          <c:showPercent val="0"/>
          <c:showBubbleSize val="0"/>
          <c:showLeaderLines val="1"/>
        </c:dLbls>
        <c:firstSliceAng val="27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[TNWeather.xlsm]DPTri!Min_Max_TempTable</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r>
              <a:rPr lang="en-IN" sz="1400" b="1">
                <a:solidFill>
                  <a:srgbClr val="1D2B38"/>
                </a:solidFill>
                <a:latin typeface="Source Sans Pro" panose="020B0503030403020204" pitchFamily="34" charset="0"/>
                <a:ea typeface="Source Sans Pro" panose="020B0503030403020204" pitchFamily="34" charset="0"/>
              </a:rPr>
              <a:t>Minimum</a:t>
            </a:r>
            <a:r>
              <a:rPr lang="en-IN" sz="1400" b="1" baseline="0">
                <a:solidFill>
                  <a:srgbClr val="1D2B38"/>
                </a:solidFill>
                <a:latin typeface="Source Sans Pro" panose="020B0503030403020204" pitchFamily="34" charset="0"/>
                <a:ea typeface="Source Sans Pro" panose="020B0503030403020204" pitchFamily="34" charset="0"/>
              </a:rPr>
              <a:t> vs Maximum Temp</a:t>
            </a:r>
            <a:endParaRPr lang="en-IN"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17155212800302233"/>
          <c:y val="3.014279854127842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ource Sans Pro" panose="020B0503030403020204" pitchFamily="34" charset="0"/>
              <a:ea typeface="Source Sans Pro" panose="020B0503030403020204" pitchFamily="34" charset="0"/>
              <a:cs typeface="+mn-cs"/>
            </a:defRPr>
          </a:pPr>
          <a:endParaRPr lang="en-IN"/>
        </a:p>
      </c:txPr>
    </c:title>
    <c:autoTitleDeleted val="0"/>
    <c:pivotFmts>
      <c:pivotFmt>
        <c:idx val="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4925" cap="rnd">
            <a:solidFill>
              <a:srgbClr val="80C2F8"/>
            </a:solidFill>
            <a:round/>
          </a:ln>
          <a:effectLst/>
        </c:spPr>
        <c:marker>
          <c:symbol val="circle"/>
          <c:size val="7"/>
          <c:spPr>
            <a:solidFill>
              <a:schemeClr val="bg1"/>
            </a:solidFill>
            <a:ln w="12700">
              <a:solidFill>
                <a:srgbClr val="80C2F8"/>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rgbClr val="E53935"/>
            </a:solidFill>
            <a:round/>
          </a:ln>
          <a:effectLst/>
        </c:spPr>
        <c:marker>
          <c:symbol val="circle"/>
          <c:size val="7"/>
          <c:spPr>
            <a:solidFill>
              <a:schemeClr val="bg1"/>
            </a:solidFill>
            <a:ln w="12700">
              <a:solidFill>
                <a:srgbClr val="E5393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08044098659796E-2"/>
          <c:y val="0.22065087047605283"/>
          <c:w val="0.76323668018761759"/>
          <c:h val="0.49433901610922487"/>
        </c:manualLayout>
      </c:layout>
      <c:lineChart>
        <c:grouping val="standard"/>
        <c:varyColors val="0"/>
        <c:ser>
          <c:idx val="0"/>
          <c:order val="0"/>
          <c:tx>
            <c:strRef>
              <c:f>DPTri!$B$3</c:f>
              <c:strCache>
                <c:ptCount val="1"/>
                <c:pt idx="0">
                  <c:v>Temp-Min</c:v>
                </c:pt>
              </c:strCache>
            </c:strRef>
          </c:tx>
          <c:spPr>
            <a:ln w="34925" cap="rnd">
              <a:solidFill>
                <a:srgbClr val="80C2F8"/>
              </a:solidFill>
              <a:round/>
            </a:ln>
            <a:effectLst/>
          </c:spPr>
          <c:marker>
            <c:symbol val="circle"/>
            <c:size val="7"/>
            <c:spPr>
              <a:solidFill>
                <a:schemeClr val="bg1"/>
              </a:solidFill>
              <a:ln w="12700">
                <a:solidFill>
                  <a:srgbClr val="80C2F8"/>
                </a:solidFill>
              </a:ln>
              <a:effectLst/>
            </c:spPr>
          </c:marker>
          <c:cat>
            <c:strRef>
              <c:f>DPTri!$A$4:$A$18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DPTri!$B$4:$B$18</c:f>
              <c:numCache>
                <c:formatCode>0.0</c:formatCode>
                <c:ptCount val="15"/>
                <c:pt idx="0">
                  <c:v>25</c:v>
                </c:pt>
                <c:pt idx="1">
                  <c:v>23.9</c:v>
                </c:pt>
                <c:pt idx="2">
                  <c:v>24.1</c:v>
                </c:pt>
                <c:pt idx="3">
                  <c:v>22.8</c:v>
                </c:pt>
                <c:pt idx="4">
                  <c:v>22.3</c:v>
                </c:pt>
                <c:pt idx="5">
                  <c:v>22.6</c:v>
                </c:pt>
                <c:pt idx="6">
                  <c:v>23.3</c:v>
                </c:pt>
                <c:pt idx="7">
                  <c:v>21.3</c:v>
                </c:pt>
                <c:pt idx="8">
                  <c:v>21.5</c:v>
                </c:pt>
                <c:pt idx="9">
                  <c:v>21.6</c:v>
                </c:pt>
                <c:pt idx="10">
                  <c:v>21.5</c:v>
                </c:pt>
                <c:pt idx="11">
                  <c:v>21.4</c:v>
                </c:pt>
                <c:pt idx="12">
                  <c:v>20.6</c:v>
                </c:pt>
                <c:pt idx="13">
                  <c:v>20</c:v>
                </c:pt>
                <c:pt idx="14">
                  <c:v>19.7</c:v>
                </c:pt>
              </c:numCache>
            </c:numRef>
          </c:val>
          <c:smooth val="0"/>
          <c:extLst>
            <c:ext xmlns:c16="http://schemas.microsoft.com/office/drawing/2014/chart" uri="{C3380CC4-5D6E-409C-BE32-E72D297353CC}">
              <c16:uniqueId val="{00000004-DE14-4068-9BBE-14C90024BAA1}"/>
            </c:ext>
          </c:extLst>
        </c:ser>
        <c:ser>
          <c:idx val="1"/>
          <c:order val="1"/>
          <c:tx>
            <c:strRef>
              <c:f>DPTri!$C$3</c:f>
              <c:strCache>
                <c:ptCount val="1"/>
                <c:pt idx="0">
                  <c:v>Temp-Max</c:v>
                </c:pt>
              </c:strCache>
            </c:strRef>
          </c:tx>
          <c:spPr>
            <a:ln w="34925" cap="rnd">
              <a:solidFill>
                <a:srgbClr val="E53935"/>
              </a:solidFill>
              <a:round/>
            </a:ln>
            <a:effectLst/>
          </c:spPr>
          <c:marker>
            <c:symbol val="circle"/>
            <c:size val="7"/>
            <c:spPr>
              <a:solidFill>
                <a:schemeClr val="bg1"/>
              </a:solidFill>
              <a:ln w="12700">
                <a:solidFill>
                  <a:srgbClr val="E53935"/>
                </a:solidFill>
              </a:ln>
              <a:effectLst/>
            </c:spPr>
          </c:marker>
          <c:cat>
            <c:strRef>
              <c:f>DPTri!$A$4:$A$18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DPTri!$C$4:$C$18</c:f>
              <c:numCache>
                <c:formatCode>0.0</c:formatCode>
                <c:ptCount val="15"/>
                <c:pt idx="0">
                  <c:v>36</c:v>
                </c:pt>
                <c:pt idx="1">
                  <c:v>31.1</c:v>
                </c:pt>
                <c:pt idx="2">
                  <c:v>32.700000000000003</c:v>
                </c:pt>
                <c:pt idx="3">
                  <c:v>30.9</c:v>
                </c:pt>
                <c:pt idx="4">
                  <c:v>31.4</c:v>
                </c:pt>
                <c:pt idx="5">
                  <c:v>29.8</c:v>
                </c:pt>
                <c:pt idx="6">
                  <c:v>30.5</c:v>
                </c:pt>
                <c:pt idx="7">
                  <c:v>29.7</c:v>
                </c:pt>
                <c:pt idx="8">
                  <c:v>30.1</c:v>
                </c:pt>
                <c:pt idx="9">
                  <c:v>29.5</c:v>
                </c:pt>
                <c:pt idx="10">
                  <c:v>29.4</c:v>
                </c:pt>
                <c:pt idx="11">
                  <c:v>29.2</c:v>
                </c:pt>
                <c:pt idx="12">
                  <c:v>29.3</c:v>
                </c:pt>
                <c:pt idx="13">
                  <c:v>29.5</c:v>
                </c:pt>
                <c:pt idx="14">
                  <c:v>29.3</c:v>
                </c:pt>
              </c:numCache>
            </c:numRef>
          </c:val>
          <c:smooth val="0"/>
          <c:extLst>
            <c:ext xmlns:c16="http://schemas.microsoft.com/office/drawing/2014/chart" uri="{C3380CC4-5D6E-409C-BE32-E72D297353CC}">
              <c16:uniqueId val="{00000005-DE14-4068-9BBE-14C90024BAA1}"/>
            </c:ext>
          </c:extLst>
        </c:ser>
        <c:dLbls>
          <c:showLegendKey val="0"/>
          <c:showVal val="0"/>
          <c:showCatName val="0"/>
          <c:showSerName val="0"/>
          <c:showPercent val="0"/>
          <c:showBubbleSize val="0"/>
        </c:dLbls>
        <c:marker val="1"/>
        <c:smooth val="0"/>
        <c:axId val="1828945151"/>
        <c:axId val="1828952831"/>
      </c:lineChart>
      <c:catAx>
        <c:axId val="18289451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52831"/>
        <c:crossesAt val="0"/>
        <c:auto val="1"/>
        <c:lblAlgn val="ctr"/>
        <c:lblOffset val="100"/>
        <c:noMultiLvlLbl val="0"/>
      </c:catAx>
      <c:valAx>
        <c:axId val="1828952831"/>
        <c:scaling>
          <c:orientation val="minMax"/>
          <c:min val="1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crossAx val="1828945151"/>
        <c:crosses val="autoZero"/>
        <c:crossBetween val="between"/>
        <c:majorUnit val="5"/>
      </c:valAx>
      <c:spPr>
        <a:noFill/>
        <a:ln>
          <a:noFill/>
        </a:ln>
        <a:effectLst/>
      </c:spPr>
    </c:plotArea>
    <c:legend>
      <c:legendPos val="t"/>
      <c:layout>
        <c:manualLayout>
          <c:xMode val="edge"/>
          <c:yMode val="edge"/>
          <c:x val="0.21828462656921563"/>
          <c:y val="0.15370335134912758"/>
          <c:w val="0.42204559000414288"/>
          <c:h val="8.7530103364402909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ysClr val="windowText" lastClr="000000"/>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[TNWeather.xlsm]DPTri!Wind_Gust_SpeedTable</c:name>
    <c:fmtId val="1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b="1">
                <a:solidFill>
                  <a:srgbClr val="1D2B38"/>
                </a:solidFill>
                <a:latin typeface="Source Sans Pro" panose="020B0503030403020204" pitchFamily="34" charset="0"/>
                <a:ea typeface="Source Sans Pro" panose="020B0503030403020204" pitchFamily="34" charset="0"/>
              </a:rPr>
              <a:t>Wind</a:t>
            </a:r>
            <a:r>
              <a:rPr lang="en-US" sz="1400" b="1" baseline="0">
                <a:solidFill>
                  <a:srgbClr val="1D2B38"/>
                </a:solidFill>
                <a:latin typeface="Source Sans Pro" panose="020B0503030403020204" pitchFamily="34" charset="0"/>
                <a:ea typeface="Source Sans Pro" panose="020B0503030403020204" pitchFamily="34" charset="0"/>
              </a:rPr>
              <a:t> Speed</a:t>
            </a:r>
            <a:endParaRPr lang="en-US" sz="1400" b="1">
              <a:solidFill>
                <a:srgbClr val="1D2B38"/>
              </a:solidFill>
              <a:latin typeface="Source Sans Pro" panose="020B0503030403020204" pitchFamily="34" charset="0"/>
              <a:ea typeface="Source Sans Pro" panose="020B0503030403020204" pitchFamily="34" charset="0"/>
            </a:endParaRPr>
          </a:p>
        </c:rich>
      </c:tx>
      <c:layout>
        <c:manualLayout>
          <c:xMode val="edge"/>
          <c:yMode val="edge"/>
          <c:x val="0.34708683537246915"/>
          <c:y val="4.3238458395751057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pattFill prst="ltUpDiag">
            <a:fgClr>
              <a:schemeClr val="accent1"/>
            </a:fgClr>
            <a:bgClr>
              <a:schemeClr val="lt1"/>
            </a:bgClr>
          </a:pattFill>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ln w="38100" cap="rnd" cmpd="sng">
            <a:solidFill>
              <a:srgbClr val="1C415A"/>
            </a:solidFill>
            <a:round/>
          </a:ln>
          <a:effectLst/>
        </c:spPr>
        <c:marker>
          <c:symbol val="circle"/>
          <c:size val="6"/>
          <c:spPr>
            <a:solidFill>
              <a:srgbClr val="FDFDFD"/>
            </a:solidFill>
            <a:ln w="22225">
              <a:solidFill>
                <a:srgbClr val="1C415A"/>
              </a:solidFill>
              <a:round/>
            </a:ln>
            <a:effectLst/>
          </c:spPr>
        </c:marker>
        <c:dLbl>
          <c:idx val="0"/>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8.5423377784838245E-2"/>
          <c:y val="0.17676963699365988"/>
          <c:w val="0.887178099225016"/>
          <c:h val="0.51697762040946027"/>
        </c:manualLayout>
      </c:layout>
      <c:lineChart>
        <c:grouping val="standard"/>
        <c:varyColors val="0"/>
        <c:ser>
          <c:idx val="0"/>
          <c:order val="0"/>
          <c:tx>
            <c:strRef>
              <c:f>DPTri!$B$24</c:f>
              <c:strCache>
                <c:ptCount val="1"/>
                <c:pt idx="0">
                  <c:v>Total</c:v>
                </c:pt>
              </c:strCache>
            </c:strRef>
          </c:tx>
          <c:spPr>
            <a:ln w="38100" cap="rnd" cmpd="sng">
              <a:solidFill>
                <a:srgbClr val="1C415A"/>
              </a:solidFill>
              <a:round/>
            </a:ln>
            <a:effectLst/>
          </c:spPr>
          <c:marker>
            <c:symbol val="circle"/>
            <c:size val="6"/>
            <c:spPr>
              <a:solidFill>
                <a:srgbClr val="FDFDFD"/>
              </a:solidFill>
              <a:ln w="22225">
                <a:solidFill>
                  <a:srgbClr val="1C415A"/>
                </a:solidFill>
                <a:round/>
              </a:ln>
              <a:effectLst/>
            </c:spPr>
          </c:marker>
          <c:dLbls>
            <c:spPr>
              <a:solidFill>
                <a:srgbClr val="1C415A"/>
              </a:solidFill>
              <a:ln>
                <a:noFill/>
              </a:ln>
              <a:effectLst/>
            </c:spPr>
            <c:txPr>
              <a:bodyPr rot="0" spcFirstLastPara="1" vertOverflow="overflow" horzOverflow="overflow" vert="horz" wrap="square" lIns="0" tIns="0" rIns="0" bIns="0" anchor="ctr" anchorCtr="0">
                <a:spAutoFit/>
              </a:bodyPr>
              <a:lstStyle/>
              <a:p>
                <a:pPr algn="ctr">
                  <a:defRPr sz="900" b="1" i="0" u="none" strike="noStrike" kern="1200" baseline="0">
                    <a:solidFill>
                      <a:srgbClr val="D9E3E9"/>
                    </a:solidFill>
                    <a:latin typeface="Source Sans Pro" panose="020B0503030403020204" pitchFamily="34" charset="0"/>
                    <a:ea typeface="Source Sans Pro" panose="020B0503030403020204"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accent1">
                          <a:lumMod val="60000"/>
                          <a:lumOff val="40000"/>
                        </a:schemeClr>
                      </a:solidFill>
                    </a:ln>
                    <a:effectLst/>
                  </c:spPr>
                </c15:leaderLines>
              </c:ext>
            </c:extLst>
          </c:dLbls>
          <c:cat>
            <c:strRef>
              <c:f>DPTri!$A$25:$A$39</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DPTri!$B$25:$B$39</c:f>
              <c:numCache>
                <c:formatCode>0.0</c:formatCode>
                <c:ptCount val="15"/>
                <c:pt idx="0">
                  <c:v>22.3</c:v>
                </c:pt>
                <c:pt idx="1">
                  <c:v>25.9</c:v>
                </c:pt>
                <c:pt idx="2">
                  <c:v>17.600000000000001</c:v>
                </c:pt>
                <c:pt idx="3">
                  <c:v>22</c:v>
                </c:pt>
                <c:pt idx="4">
                  <c:v>21.2</c:v>
                </c:pt>
                <c:pt idx="5">
                  <c:v>13.3</c:v>
                </c:pt>
                <c:pt idx="6">
                  <c:v>13.3</c:v>
                </c:pt>
                <c:pt idx="7">
                  <c:v>11.9</c:v>
                </c:pt>
                <c:pt idx="8">
                  <c:v>12.6</c:v>
                </c:pt>
                <c:pt idx="9">
                  <c:v>13</c:v>
                </c:pt>
                <c:pt idx="10">
                  <c:v>17.600000000000001</c:v>
                </c:pt>
                <c:pt idx="11">
                  <c:v>17.3</c:v>
                </c:pt>
                <c:pt idx="12">
                  <c:v>17.3</c:v>
                </c:pt>
                <c:pt idx="13">
                  <c:v>13.7</c:v>
                </c:pt>
                <c:pt idx="14">
                  <c:v>15.1</c:v>
                </c:pt>
              </c:numCache>
            </c:numRef>
          </c:val>
          <c:smooth val="0"/>
          <c:extLst>
            <c:ext xmlns:c16="http://schemas.microsoft.com/office/drawing/2014/chart" uri="{C3380CC4-5D6E-409C-BE32-E72D297353CC}">
              <c16:uniqueId val="{00000002-4707-4630-9654-6E2EC22F3969}"/>
            </c:ext>
          </c:extLst>
        </c:ser>
        <c:dLbls>
          <c:dLblPos val="t"/>
          <c:showLegendKey val="0"/>
          <c:showVal val="1"/>
          <c:showCatName val="0"/>
          <c:showSerName val="0"/>
          <c:showPercent val="0"/>
          <c:showBubbleSize val="0"/>
        </c:dLbls>
        <c:dropLines>
          <c:spPr>
            <a:ln w="9525" cap="flat" cmpd="sng" algn="ctr">
              <a:solidFill>
                <a:srgbClr val="1C415A">
                  <a:alpha val="41000"/>
                </a:srgbClr>
              </a:solidFill>
              <a:round/>
            </a:ln>
            <a:effectLst/>
          </c:spPr>
        </c:dropLines>
        <c:marker val="1"/>
        <c:smooth val="0"/>
        <c:axId val="1327172975"/>
        <c:axId val="1327178735"/>
      </c:lineChart>
      <c:catAx>
        <c:axId val="1327172975"/>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1327178735"/>
        <c:crosses val="autoZero"/>
        <c:auto val="1"/>
        <c:lblAlgn val="ctr"/>
        <c:lblOffset val="100"/>
        <c:noMultiLvlLbl val="0"/>
      </c:catAx>
      <c:valAx>
        <c:axId val="1327178735"/>
        <c:scaling>
          <c:orientation val="minMax"/>
        </c:scaling>
        <c:delete val="1"/>
        <c:axPos val="l"/>
        <c:numFmt formatCode="0.0" sourceLinked="1"/>
        <c:majorTickMark val="none"/>
        <c:minorTickMark val="none"/>
        <c:tickLblPos val="nextTo"/>
        <c:crossAx val="13271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[TNWeather.xlsm]DPTri!PrecipTable</c:name>
    <c:fmtId val="1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rgbClr val="1D2B38"/>
                </a:solidFill>
                <a:latin typeface="Source Sans Pro" panose="020B0503030403020204" pitchFamily="34" charset="0"/>
                <a:ea typeface="Source Sans Pro" panose="020B0503030403020204" pitchFamily="34" charset="0"/>
              </a:rPr>
              <a:t>Precipitation</a:t>
            </a:r>
            <a:r>
              <a:rPr lang="en-IN" b="1" baseline="0">
                <a:solidFill>
                  <a:schemeClr val="tx1"/>
                </a:solidFill>
                <a:latin typeface="Source Sans Pro" panose="020B0503030403020204" pitchFamily="34" charset="0"/>
                <a:ea typeface="Source Sans Pro" panose="020B0503030403020204" pitchFamily="34" charset="0"/>
              </a:rPr>
              <a:t> </a:t>
            </a:r>
          </a:p>
        </c:rich>
      </c:tx>
      <c:layout>
        <c:manualLayout>
          <c:xMode val="edge"/>
          <c:yMode val="edge"/>
          <c:x val="0.31092639121410143"/>
          <c:y val="3.2849330454116143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6A89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1E88E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81D4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47725284339458E-2"/>
          <c:y val="0.20370370370370369"/>
          <c:w val="0.75380410224664107"/>
          <c:h val="0.54720545348498106"/>
        </c:manualLayout>
      </c:layout>
      <c:barChart>
        <c:barDir val="col"/>
        <c:grouping val="clustered"/>
        <c:varyColors val="0"/>
        <c:ser>
          <c:idx val="0"/>
          <c:order val="0"/>
          <c:tx>
            <c:strRef>
              <c:f>DPTri!$L$3</c:f>
              <c:strCache>
                <c:ptCount val="1"/>
                <c:pt idx="0">
                  <c:v>Precipitation</c:v>
                </c:pt>
              </c:strCache>
            </c:strRef>
          </c:tx>
          <c:spPr>
            <a:solidFill>
              <a:srgbClr val="81D4FA"/>
            </a:solidFill>
            <a:ln>
              <a:noFill/>
            </a:ln>
            <a:effectLst/>
          </c:spPr>
          <c:invertIfNegative val="0"/>
          <c:cat>
            <c:strRef>
              <c:f>DPTri!$K$4:$K$18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DPTri!$L$4:$L$18</c:f>
              <c:numCache>
                <c:formatCode>0.0</c:formatCode>
                <c:ptCount val="15"/>
                <c:pt idx="0">
                  <c:v>1.8</c:v>
                </c:pt>
                <c:pt idx="1">
                  <c:v>0.6</c:v>
                </c:pt>
                <c:pt idx="2">
                  <c:v>14</c:v>
                </c:pt>
                <c:pt idx="3">
                  <c:v>18.3</c:v>
                </c:pt>
                <c:pt idx="4">
                  <c:v>3.2</c:v>
                </c:pt>
                <c:pt idx="5">
                  <c:v>16.100000000000001</c:v>
                </c:pt>
                <c:pt idx="6">
                  <c:v>3.4</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31E0-4D57-AC5C-8848BA8E18C7}"/>
            </c:ext>
          </c:extLst>
        </c:ser>
        <c:dLbls>
          <c:showLegendKey val="0"/>
          <c:showVal val="0"/>
          <c:showCatName val="0"/>
          <c:showSerName val="0"/>
          <c:showPercent val="0"/>
          <c:showBubbleSize val="0"/>
        </c:dLbls>
        <c:gapWidth val="109"/>
        <c:axId val="1295588991"/>
        <c:axId val="1295586591"/>
      </c:barChart>
      <c:lineChart>
        <c:grouping val="standard"/>
        <c:varyColors val="0"/>
        <c:ser>
          <c:idx val="1"/>
          <c:order val="1"/>
          <c:tx>
            <c:strRef>
              <c:f>DPTri!$M$3</c:f>
              <c:strCache>
                <c:ptCount val="1"/>
                <c:pt idx="0">
                  <c:v>Precip-Prob</c:v>
                </c:pt>
              </c:strCache>
            </c:strRef>
          </c:tx>
          <c:spPr>
            <a:ln w="28575" cap="rnd">
              <a:solidFill>
                <a:srgbClr val="00B0F0"/>
              </a:solidFill>
              <a:round/>
            </a:ln>
            <a:effectLst/>
          </c:spPr>
          <c:marker>
            <c:symbol val="none"/>
          </c:marker>
          <c:cat>
            <c:strRef>
              <c:f>DPTri!$K$4:$K$18</c:f>
              <c:strCache>
                <c:ptCount val="15"/>
                <c:pt idx="0">
                  <c:v>03-11-2025</c:v>
                </c:pt>
                <c:pt idx="1">
                  <c:v>04-11-2025</c:v>
                </c:pt>
                <c:pt idx="2">
                  <c:v>05-11-2025</c:v>
                </c:pt>
                <c:pt idx="3">
                  <c:v>06-11-2025</c:v>
                </c:pt>
                <c:pt idx="4">
                  <c:v>07-11-2025</c:v>
                </c:pt>
                <c:pt idx="5">
                  <c:v>08-11-2025</c:v>
                </c:pt>
                <c:pt idx="6">
                  <c:v>09-11-2025</c:v>
                </c:pt>
                <c:pt idx="7">
                  <c:v>10-11-2025</c:v>
                </c:pt>
                <c:pt idx="8">
                  <c:v>11-11-2025</c:v>
                </c:pt>
                <c:pt idx="9">
                  <c:v>12-11-2025</c:v>
                </c:pt>
                <c:pt idx="10">
                  <c:v>13-11-2025</c:v>
                </c:pt>
                <c:pt idx="11">
                  <c:v>14-11-2025</c:v>
                </c:pt>
                <c:pt idx="12">
                  <c:v>15-11-2025</c:v>
                </c:pt>
                <c:pt idx="13">
                  <c:v>16-11-2025</c:v>
                </c:pt>
                <c:pt idx="14">
                  <c:v>17-11-2025</c:v>
                </c:pt>
              </c:strCache>
            </c:strRef>
          </c:cat>
          <c:val>
            <c:numRef>
              <c:f>DPTri!$M$4:$M$18</c:f>
              <c:numCache>
                <c:formatCode>0.0</c:formatCode>
                <c:ptCount val="15"/>
                <c:pt idx="0">
                  <c:v>100</c:v>
                </c:pt>
                <c:pt idx="1">
                  <c:v>90.3</c:v>
                </c:pt>
                <c:pt idx="2">
                  <c:v>83.9</c:v>
                </c:pt>
                <c:pt idx="3">
                  <c:v>64.5</c:v>
                </c:pt>
                <c:pt idx="4">
                  <c:v>38.700000000000003</c:v>
                </c:pt>
                <c:pt idx="5">
                  <c:v>54.8</c:v>
                </c:pt>
                <c:pt idx="6">
                  <c:v>54.8</c:v>
                </c:pt>
                <c:pt idx="7">
                  <c:v>35.5</c:v>
                </c:pt>
                <c:pt idx="8">
                  <c:v>19.399999999999999</c:v>
                </c:pt>
                <c:pt idx="9">
                  <c:v>12.9</c:v>
                </c:pt>
                <c:pt idx="10">
                  <c:v>6.5</c:v>
                </c:pt>
                <c:pt idx="11">
                  <c:v>3.2</c:v>
                </c:pt>
                <c:pt idx="12">
                  <c:v>6.5</c:v>
                </c:pt>
                <c:pt idx="13">
                  <c:v>9.6999999999999993</c:v>
                </c:pt>
                <c:pt idx="14">
                  <c:v>16.100000000000001</c:v>
                </c:pt>
              </c:numCache>
            </c:numRef>
          </c:val>
          <c:smooth val="0"/>
          <c:extLst>
            <c:ext xmlns:c16="http://schemas.microsoft.com/office/drawing/2014/chart" uri="{C3380CC4-5D6E-409C-BE32-E72D297353CC}">
              <c16:uniqueId val="{00000005-31E0-4D57-AC5C-8848BA8E18C7}"/>
            </c:ext>
          </c:extLst>
        </c:ser>
        <c:dLbls>
          <c:showLegendKey val="0"/>
          <c:showVal val="0"/>
          <c:showCatName val="0"/>
          <c:showSerName val="0"/>
          <c:showPercent val="0"/>
          <c:showBubbleSize val="0"/>
        </c:dLbls>
        <c:marker val="1"/>
        <c:smooth val="0"/>
        <c:axId val="1295588991"/>
        <c:axId val="1295586591"/>
      </c:lineChart>
      <c:valAx>
        <c:axId val="129558659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295588991"/>
        <c:crosses val="max"/>
        <c:crossBetween val="between"/>
      </c:valAx>
      <c:catAx>
        <c:axId val="12955889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D2B38"/>
                </a:solidFill>
                <a:latin typeface="+mn-lt"/>
                <a:ea typeface="+mn-ea"/>
                <a:cs typeface="+mn-cs"/>
              </a:defRPr>
            </a:pPr>
            <a:endParaRPr lang="en-US"/>
          </a:p>
        </c:txPr>
        <c:crossAx val="1295586591"/>
        <c:crosses val="autoZero"/>
        <c:auto val="1"/>
        <c:lblAlgn val="ctr"/>
        <c:lblOffset val="100"/>
        <c:noMultiLvlLbl val="0"/>
      </c:catAx>
      <c:spPr>
        <a:noFill/>
        <a:ln>
          <a:noFill/>
        </a:ln>
        <a:effectLst/>
      </c:spPr>
    </c:plotArea>
    <c:legend>
      <c:legendPos val="t"/>
      <c:layout>
        <c:manualLayout>
          <c:xMode val="edge"/>
          <c:yMode val="edge"/>
          <c:x val="0.20482373635936715"/>
          <c:y val="0.14437711977726564"/>
          <c:w val="0.47590508779313034"/>
          <c:h val="8.3249982084563912E-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bcni!A1"/><Relationship Id="rId13" Type="http://schemas.openxmlformats.org/officeDocument/2006/relationships/image" Target="../media/image1.png"/><Relationship Id="rId18" Type="http://schemas.openxmlformats.org/officeDocument/2006/relationships/image" Target="../media/image6.png"/><Relationship Id="rId3" Type="http://schemas.openxmlformats.org/officeDocument/2006/relationships/chart" Target="../charts/chart3.xml"/><Relationship Id="rId21" Type="http://schemas.openxmlformats.org/officeDocument/2006/relationships/image" Target="../media/image9.png"/><Relationship Id="rId7" Type="http://schemas.openxmlformats.org/officeDocument/2006/relationships/chart" Target="../charts/chart7.xml"/><Relationship Id="rId12" Type="http://schemas.openxmlformats.org/officeDocument/2006/relationships/hyperlink" Target="#Dashboard!A1"/><Relationship Id="rId17" Type="http://schemas.openxmlformats.org/officeDocument/2006/relationships/image" Target="../media/image5.png"/><Relationship Id="rId2" Type="http://schemas.openxmlformats.org/officeDocument/2006/relationships/chart" Target="../charts/chart2.xml"/><Relationship Id="rId16" Type="http://schemas.openxmlformats.org/officeDocument/2006/relationships/image" Target="../media/image4.png"/><Relationship Id="rId20" Type="http://schemas.openxmlformats.org/officeDocument/2006/relationships/image" Target="../media/image8.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Dbtri!A1"/><Relationship Id="rId24" Type="http://schemas.openxmlformats.org/officeDocument/2006/relationships/image" Target="../media/image12.jpeg"/><Relationship Id="rId5" Type="http://schemas.openxmlformats.org/officeDocument/2006/relationships/chart" Target="../charts/chart5.xml"/><Relationship Id="rId15" Type="http://schemas.openxmlformats.org/officeDocument/2006/relationships/image" Target="../media/image3.png"/><Relationship Id="rId23" Type="http://schemas.openxmlformats.org/officeDocument/2006/relationships/image" Target="../media/image11.jpeg"/><Relationship Id="rId10" Type="http://schemas.openxmlformats.org/officeDocument/2006/relationships/hyperlink" Target="#Dbmdi!A1"/><Relationship Id="rId19" Type="http://schemas.openxmlformats.org/officeDocument/2006/relationships/image" Target="../media/image7.png"/><Relationship Id="rId4" Type="http://schemas.openxmlformats.org/officeDocument/2006/relationships/chart" Target="../charts/chart4.xml"/><Relationship Id="rId9" Type="http://schemas.openxmlformats.org/officeDocument/2006/relationships/hyperlink" Target="#Dbcbe!A1"/><Relationship Id="rId14" Type="http://schemas.openxmlformats.org/officeDocument/2006/relationships/image" Target="../media/image2.svg"/><Relationship Id="rId22"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2.svg"/><Relationship Id="rId18" Type="http://schemas.openxmlformats.org/officeDocument/2006/relationships/image" Target="../media/image6.png"/><Relationship Id="rId3" Type="http://schemas.openxmlformats.org/officeDocument/2006/relationships/hyperlink" Target="#Dbtri!A1"/><Relationship Id="rId21" Type="http://schemas.openxmlformats.org/officeDocument/2006/relationships/image" Target="../media/image14.png"/><Relationship Id="rId7" Type="http://schemas.openxmlformats.org/officeDocument/2006/relationships/chart" Target="../charts/chart9.xml"/><Relationship Id="rId12" Type="http://schemas.openxmlformats.org/officeDocument/2006/relationships/image" Target="../media/image1.png"/><Relationship Id="rId17" Type="http://schemas.openxmlformats.org/officeDocument/2006/relationships/image" Target="../media/image5.png"/><Relationship Id="rId2" Type="http://schemas.openxmlformats.org/officeDocument/2006/relationships/hyperlink" Target="#Dbmdi!A1"/><Relationship Id="rId16" Type="http://schemas.openxmlformats.org/officeDocument/2006/relationships/image" Target="../media/image4.png"/><Relationship Id="rId20" Type="http://schemas.openxmlformats.org/officeDocument/2006/relationships/image" Target="../media/image13.png"/><Relationship Id="rId1" Type="http://schemas.openxmlformats.org/officeDocument/2006/relationships/hyperlink" Target="#Dbcbe!A1"/><Relationship Id="rId6" Type="http://schemas.openxmlformats.org/officeDocument/2006/relationships/chart" Target="../charts/chart8.xml"/><Relationship Id="rId11" Type="http://schemas.openxmlformats.org/officeDocument/2006/relationships/chart" Target="../charts/chart13.xml"/><Relationship Id="rId24" Type="http://schemas.openxmlformats.org/officeDocument/2006/relationships/image" Target="../media/image16.jpeg"/><Relationship Id="rId5" Type="http://schemas.openxmlformats.org/officeDocument/2006/relationships/hyperlink" Target="#Dbcni!A1"/><Relationship Id="rId15" Type="http://schemas.openxmlformats.org/officeDocument/2006/relationships/image" Target="../media/image3.png"/><Relationship Id="rId23" Type="http://schemas.openxmlformats.org/officeDocument/2006/relationships/image" Target="../media/image15.jpeg"/><Relationship Id="rId10" Type="http://schemas.openxmlformats.org/officeDocument/2006/relationships/chart" Target="../charts/chart12.xml"/><Relationship Id="rId19" Type="http://schemas.openxmlformats.org/officeDocument/2006/relationships/image" Target="../media/image7.png"/><Relationship Id="rId4" Type="http://schemas.openxmlformats.org/officeDocument/2006/relationships/hyperlink" Target="#Dashboard!A1"/><Relationship Id="rId9" Type="http://schemas.openxmlformats.org/officeDocument/2006/relationships/chart" Target="../charts/chart11.xml"/><Relationship Id="rId14" Type="http://schemas.openxmlformats.org/officeDocument/2006/relationships/chart" Target="../charts/chart14.xml"/><Relationship Id="rId22"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png"/><Relationship Id="rId18" Type="http://schemas.openxmlformats.org/officeDocument/2006/relationships/image" Target="../media/image6.png"/><Relationship Id="rId3" Type="http://schemas.openxmlformats.org/officeDocument/2006/relationships/hyperlink" Target="#Dbtri!A1"/><Relationship Id="rId21" Type="http://schemas.openxmlformats.org/officeDocument/2006/relationships/image" Target="../media/image18.png"/><Relationship Id="rId7" Type="http://schemas.openxmlformats.org/officeDocument/2006/relationships/chart" Target="../charts/chart16.xml"/><Relationship Id="rId12" Type="http://schemas.openxmlformats.org/officeDocument/2006/relationships/chart" Target="../charts/chart21.xml"/><Relationship Id="rId17" Type="http://schemas.openxmlformats.org/officeDocument/2006/relationships/image" Target="../media/image5.png"/><Relationship Id="rId2" Type="http://schemas.openxmlformats.org/officeDocument/2006/relationships/hyperlink" Target="#Dbmdi!A1"/><Relationship Id="rId16" Type="http://schemas.openxmlformats.org/officeDocument/2006/relationships/image" Target="../media/image4.png"/><Relationship Id="rId20" Type="http://schemas.openxmlformats.org/officeDocument/2006/relationships/image" Target="../media/image17.png"/><Relationship Id="rId1" Type="http://schemas.openxmlformats.org/officeDocument/2006/relationships/hyperlink" Target="#Dbcni!A1"/><Relationship Id="rId6" Type="http://schemas.openxmlformats.org/officeDocument/2006/relationships/chart" Target="../charts/chart15.xml"/><Relationship Id="rId11" Type="http://schemas.openxmlformats.org/officeDocument/2006/relationships/chart" Target="../charts/chart20.xml"/><Relationship Id="rId24" Type="http://schemas.openxmlformats.org/officeDocument/2006/relationships/image" Target="../media/image20.jpeg"/><Relationship Id="rId5" Type="http://schemas.openxmlformats.org/officeDocument/2006/relationships/hyperlink" Target="#Dbcbe!A1"/><Relationship Id="rId15" Type="http://schemas.openxmlformats.org/officeDocument/2006/relationships/image" Target="../media/image3.png"/><Relationship Id="rId23" Type="http://schemas.openxmlformats.org/officeDocument/2006/relationships/image" Target="../media/image19.jpeg"/><Relationship Id="rId10" Type="http://schemas.openxmlformats.org/officeDocument/2006/relationships/chart" Target="../charts/chart19.xml"/><Relationship Id="rId19" Type="http://schemas.openxmlformats.org/officeDocument/2006/relationships/image" Target="../media/image7.png"/><Relationship Id="rId4" Type="http://schemas.openxmlformats.org/officeDocument/2006/relationships/hyperlink" Target="#Dashboard!A1"/><Relationship Id="rId9" Type="http://schemas.openxmlformats.org/officeDocument/2006/relationships/chart" Target="../charts/chart18.xml"/><Relationship Id="rId14" Type="http://schemas.openxmlformats.org/officeDocument/2006/relationships/image" Target="../media/image2.svg"/><Relationship Id="rId22"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png"/><Relationship Id="rId18" Type="http://schemas.openxmlformats.org/officeDocument/2006/relationships/image" Target="../media/image23.jpeg"/><Relationship Id="rId3" Type="http://schemas.openxmlformats.org/officeDocument/2006/relationships/chart" Target="../charts/chart24.xml"/><Relationship Id="rId21" Type="http://schemas.openxmlformats.org/officeDocument/2006/relationships/hyperlink" Target="#Dashboard!A1"/><Relationship Id="rId7" Type="http://schemas.openxmlformats.org/officeDocument/2006/relationships/chart" Target="../charts/chart28.xml"/><Relationship Id="rId12" Type="http://schemas.openxmlformats.org/officeDocument/2006/relationships/image" Target="../media/image5.png"/><Relationship Id="rId17" Type="http://schemas.openxmlformats.org/officeDocument/2006/relationships/image" Target="../media/image10.png"/><Relationship Id="rId2" Type="http://schemas.openxmlformats.org/officeDocument/2006/relationships/chart" Target="../charts/chart23.xml"/><Relationship Id="rId16" Type="http://schemas.openxmlformats.org/officeDocument/2006/relationships/image" Target="../media/image22.png"/><Relationship Id="rId20" Type="http://schemas.openxmlformats.org/officeDocument/2006/relationships/hyperlink" Target="#Dbcni!A1"/><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image" Target="../media/image4.png"/><Relationship Id="rId24" Type="http://schemas.openxmlformats.org/officeDocument/2006/relationships/hyperlink" Target="#Dbmdi!A1"/><Relationship Id="rId5" Type="http://schemas.openxmlformats.org/officeDocument/2006/relationships/chart" Target="../charts/chart26.xml"/><Relationship Id="rId15" Type="http://schemas.openxmlformats.org/officeDocument/2006/relationships/image" Target="../media/image21.png"/><Relationship Id="rId23" Type="http://schemas.openxmlformats.org/officeDocument/2006/relationships/hyperlink" Target="#Dbtri!A1"/><Relationship Id="rId10" Type="http://schemas.openxmlformats.org/officeDocument/2006/relationships/image" Target="../media/image3.png"/><Relationship Id="rId19" Type="http://schemas.openxmlformats.org/officeDocument/2006/relationships/image" Target="../media/image20.jpeg"/><Relationship Id="rId4" Type="http://schemas.openxmlformats.org/officeDocument/2006/relationships/chart" Target="../charts/chart25.xml"/><Relationship Id="rId9" Type="http://schemas.openxmlformats.org/officeDocument/2006/relationships/image" Target="../media/image2.svg"/><Relationship Id="rId14" Type="http://schemas.openxmlformats.org/officeDocument/2006/relationships/image" Target="../media/image7.png"/><Relationship Id="rId22" Type="http://schemas.openxmlformats.org/officeDocument/2006/relationships/hyperlink" Target="#Dbcbe!A1"/></Relationships>
</file>

<file path=xl/drawings/_rels/drawing5.xml.rels><?xml version="1.0" encoding="UTF-8" standalone="yes"?>
<Relationships xmlns="http://schemas.openxmlformats.org/package/2006/relationships"><Relationship Id="rId8" Type="http://schemas.openxmlformats.org/officeDocument/2006/relationships/chart" Target="../charts/chart31.xml"/><Relationship Id="rId13" Type="http://schemas.openxmlformats.org/officeDocument/2006/relationships/image" Target="../media/image1.png"/><Relationship Id="rId18" Type="http://schemas.openxmlformats.org/officeDocument/2006/relationships/image" Target="../media/image6.png"/><Relationship Id="rId3" Type="http://schemas.openxmlformats.org/officeDocument/2006/relationships/hyperlink" Target="#Dbcbe!A1"/><Relationship Id="rId21" Type="http://schemas.openxmlformats.org/officeDocument/2006/relationships/image" Target="../media/image25.png"/><Relationship Id="rId7" Type="http://schemas.openxmlformats.org/officeDocument/2006/relationships/chart" Target="../charts/chart30.xml"/><Relationship Id="rId12" Type="http://schemas.openxmlformats.org/officeDocument/2006/relationships/chart" Target="../charts/chart35.xml"/><Relationship Id="rId17" Type="http://schemas.openxmlformats.org/officeDocument/2006/relationships/image" Target="../media/image5.png"/><Relationship Id="rId2" Type="http://schemas.openxmlformats.org/officeDocument/2006/relationships/hyperlink" Target="#Dashboard!A1"/><Relationship Id="rId16" Type="http://schemas.openxmlformats.org/officeDocument/2006/relationships/image" Target="../media/image4.png"/><Relationship Id="rId20" Type="http://schemas.openxmlformats.org/officeDocument/2006/relationships/image" Target="../media/image24.png"/><Relationship Id="rId1" Type="http://schemas.openxmlformats.org/officeDocument/2006/relationships/hyperlink" Target="#Dbcni!A1"/><Relationship Id="rId6" Type="http://schemas.openxmlformats.org/officeDocument/2006/relationships/chart" Target="../charts/chart29.xml"/><Relationship Id="rId11" Type="http://schemas.openxmlformats.org/officeDocument/2006/relationships/chart" Target="../charts/chart34.xml"/><Relationship Id="rId24" Type="http://schemas.openxmlformats.org/officeDocument/2006/relationships/image" Target="../media/image27.jpeg"/><Relationship Id="rId5" Type="http://schemas.openxmlformats.org/officeDocument/2006/relationships/hyperlink" Target="#Dbtri!A1"/><Relationship Id="rId15" Type="http://schemas.openxmlformats.org/officeDocument/2006/relationships/image" Target="../media/image3.png"/><Relationship Id="rId23" Type="http://schemas.openxmlformats.org/officeDocument/2006/relationships/image" Target="../media/image26.jpeg"/><Relationship Id="rId10" Type="http://schemas.openxmlformats.org/officeDocument/2006/relationships/chart" Target="../charts/chart33.xml"/><Relationship Id="rId19" Type="http://schemas.openxmlformats.org/officeDocument/2006/relationships/image" Target="../media/image7.png"/><Relationship Id="rId4" Type="http://schemas.openxmlformats.org/officeDocument/2006/relationships/hyperlink" Target="#Dbmdi!A1"/><Relationship Id="rId9" Type="http://schemas.openxmlformats.org/officeDocument/2006/relationships/chart" Target="../charts/chart32.xml"/><Relationship Id="rId14" Type="http://schemas.openxmlformats.org/officeDocument/2006/relationships/image" Target="../media/image2.svg"/><Relationship Id="rId22"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4</xdr:col>
      <xdr:colOff>66263</xdr:colOff>
      <xdr:row>4</xdr:row>
      <xdr:rowOff>121478</xdr:rowOff>
    </xdr:from>
    <xdr:to>
      <xdr:col>4</xdr:col>
      <xdr:colOff>430697</xdr:colOff>
      <xdr:row>8</xdr:row>
      <xdr:rowOff>165652</xdr:rowOff>
    </xdr:to>
    <xdr:sp macro="" textlink="">
      <xdr:nvSpPr>
        <xdr:cNvPr id="62" name="Rectangle: Rounded Corners 61">
          <a:extLst>
            <a:ext uri="{FF2B5EF4-FFF2-40B4-BE49-F238E27FC236}">
              <a16:creationId xmlns:a16="http://schemas.microsoft.com/office/drawing/2014/main" id="{46F570F3-4B90-C11E-D98B-FB4D602E082B}"/>
            </a:ext>
          </a:extLst>
        </xdr:cNvPr>
        <xdr:cNvSpPr/>
      </xdr:nvSpPr>
      <xdr:spPr>
        <a:xfrm>
          <a:off x="2495828" y="872435"/>
          <a:ext cx="364434" cy="795130"/>
        </a:xfrm>
        <a:prstGeom prst="roundRect">
          <a:avLst/>
        </a:prstGeom>
        <a:solidFill>
          <a:srgbClr val="B2E5F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10026</xdr:colOff>
      <xdr:row>0</xdr:row>
      <xdr:rowOff>0</xdr:rowOff>
    </xdr:from>
    <xdr:to>
      <xdr:col>17</xdr:col>
      <xdr:colOff>357187</xdr:colOff>
      <xdr:row>46</xdr:row>
      <xdr:rowOff>30079</xdr:rowOff>
    </xdr:to>
    <xdr:sp macro="" textlink="">
      <xdr:nvSpPr>
        <xdr:cNvPr id="40" name="Rectangle: Rounded Corners 39">
          <a:extLst>
            <a:ext uri="{FF2B5EF4-FFF2-40B4-BE49-F238E27FC236}">
              <a16:creationId xmlns:a16="http://schemas.microsoft.com/office/drawing/2014/main" id="{386DEBCB-873C-85AA-4C80-9BCFD2D91AEA}"/>
            </a:ext>
          </a:extLst>
        </xdr:cNvPr>
        <xdr:cNvSpPr/>
      </xdr:nvSpPr>
      <xdr:spPr>
        <a:xfrm>
          <a:off x="2438901" y="0"/>
          <a:ext cx="8241005" cy="8245392"/>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xdr:col>
      <xdr:colOff>563880</xdr:colOff>
      <xdr:row>46</xdr:row>
      <xdr:rowOff>22860</xdr:rowOff>
    </xdr:to>
    <xdr:grpSp>
      <xdr:nvGrpSpPr>
        <xdr:cNvPr id="13" name="Group 12">
          <a:extLst>
            <a:ext uri="{FF2B5EF4-FFF2-40B4-BE49-F238E27FC236}">
              <a16:creationId xmlns:a16="http://schemas.microsoft.com/office/drawing/2014/main" id="{5FDAE17A-B91E-F840-DAC7-18E62F83ECD0}"/>
            </a:ext>
          </a:extLst>
        </xdr:cNvPr>
        <xdr:cNvGrpSpPr/>
      </xdr:nvGrpSpPr>
      <xdr:grpSpPr>
        <a:xfrm>
          <a:off x="0" y="0"/>
          <a:ext cx="2404555" cy="8216834"/>
          <a:chOff x="0" y="0"/>
          <a:chExt cx="2392680" cy="6393180"/>
        </a:xfrm>
      </xdr:grpSpPr>
      <xdr:sp macro="" textlink="">
        <xdr:nvSpPr>
          <xdr:cNvPr id="4" name="Rectangle: Rounded Corners 3">
            <a:extLst>
              <a:ext uri="{FF2B5EF4-FFF2-40B4-BE49-F238E27FC236}">
                <a16:creationId xmlns:a16="http://schemas.microsoft.com/office/drawing/2014/main" id="{8C012CEF-6932-496E-A913-953A5DF83C14}"/>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A4F4F47B-C6E8-4513-AFBD-33C71D455AEE}"/>
              </a:ext>
            </a:extLst>
          </xdr:cNvPr>
          <xdr:cNvSpPr/>
        </xdr:nvSpPr>
        <xdr:spPr>
          <a:xfrm>
            <a:off x="0" y="0"/>
            <a:ext cx="2194560" cy="6385560"/>
          </a:xfrm>
          <a:prstGeom prst="roundRect">
            <a:avLst>
              <a:gd name="adj" fmla="val 0"/>
            </a:avLst>
          </a:prstGeom>
          <a:gradFill flip="none" rotWithShape="1">
            <a:gsLst>
              <a:gs pos="0">
                <a:srgbClr val="2E4557"/>
              </a:gs>
              <a:gs pos="49000">
                <a:srgbClr val="4F6D7A"/>
              </a:gs>
              <a:gs pos="100000">
                <a:srgbClr val="6A89A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38100</xdr:rowOff>
    </xdr:from>
    <xdr:to>
      <xdr:col>17</xdr:col>
      <xdr:colOff>2406</xdr:colOff>
      <xdr:row>3</xdr:row>
      <xdr:rowOff>160421</xdr:rowOff>
    </xdr:to>
    <xdr:sp macro="" textlink="">
      <xdr:nvSpPr>
        <xdr:cNvPr id="2" name="Rectangle: Rounded Corners 1">
          <a:extLst>
            <a:ext uri="{FF2B5EF4-FFF2-40B4-BE49-F238E27FC236}">
              <a16:creationId xmlns:a16="http://schemas.microsoft.com/office/drawing/2014/main" id="{F882BEEC-63AE-E330-0A29-D74B53C5383E}"/>
            </a:ext>
          </a:extLst>
        </xdr:cNvPr>
        <xdr:cNvSpPr/>
      </xdr:nvSpPr>
      <xdr:spPr>
        <a:xfrm>
          <a:off x="2546919" y="38100"/>
          <a:ext cx="7729349" cy="674114"/>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ata Preparation'!$B$25">
      <xdr:nvSpPr>
        <xdr:cNvPr id="6" name="Rectangle: Rounded Corners 5">
          <a:extLst>
            <a:ext uri="{FF2B5EF4-FFF2-40B4-BE49-F238E27FC236}">
              <a16:creationId xmlns:a16="http://schemas.microsoft.com/office/drawing/2014/main" id="{665E1F15-33A8-4461-92A8-B70C11ED7DB4}"/>
            </a:ext>
          </a:extLst>
        </xdr:cNvPr>
        <xdr:cNvSpPr/>
      </xdr:nvSpPr>
      <xdr:spPr>
        <a:xfrm>
          <a:off x="7375146" y="869703"/>
          <a:ext cx="1393225" cy="74032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12F72C8-2E10-44F0-98B0-94AF9EB5F74A}"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17.6</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ata Preparation'!$C$4">
      <xdr:nvSpPr>
        <xdr:cNvPr id="7" name="Rectangle: Rounded Corners 6">
          <a:extLst>
            <a:ext uri="{FF2B5EF4-FFF2-40B4-BE49-F238E27FC236}">
              <a16:creationId xmlns:a16="http://schemas.microsoft.com/office/drawing/2014/main" id="{8228D806-4148-497F-AA7B-C5BD216D943B}"/>
            </a:ext>
          </a:extLst>
        </xdr:cNvPr>
        <xdr:cNvSpPr/>
      </xdr:nvSpPr>
      <xdr:spPr>
        <a:xfrm>
          <a:off x="4207968" y="844645"/>
          <a:ext cx="1390906" cy="744644"/>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8A6DB3A-5E44-4660-BE6D-A8994FB8A406}"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35.0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ata Preparation'!$P$4">
      <xdr:nvSpPr>
        <xdr:cNvPr id="9" name="Rectangle: Rounded Corners 8">
          <a:extLst>
            <a:ext uri="{FF2B5EF4-FFF2-40B4-BE49-F238E27FC236}">
              <a16:creationId xmlns:a16="http://schemas.microsoft.com/office/drawing/2014/main" id="{8589FD55-6715-4A13-A675-D6F201D11108}"/>
            </a:ext>
          </a:extLst>
        </xdr:cNvPr>
        <xdr:cNvSpPr/>
      </xdr:nvSpPr>
      <xdr:spPr>
        <a:xfrm>
          <a:off x="8962087" y="870382"/>
          <a:ext cx="1390907" cy="74032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325D0C21-267A-4CEE-A16C-7AE622FC6150}"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48.9</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ata Preparation'!$B$4">
      <xdr:nvSpPr>
        <xdr:cNvPr id="8" name="Rectangle: Rounded Corners 7">
          <a:extLst>
            <a:ext uri="{FF2B5EF4-FFF2-40B4-BE49-F238E27FC236}">
              <a16:creationId xmlns:a16="http://schemas.microsoft.com/office/drawing/2014/main" id="{3AF285E5-2973-499C-96F4-ECDA235C1E26}"/>
            </a:ext>
          </a:extLst>
        </xdr:cNvPr>
        <xdr:cNvSpPr/>
      </xdr:nvSpPr>
      <xdr:spPr>
        <a:xfrm>
          <a:off x="2621025" y="835163"/>
          <a:ext cx="1393226" cy="744644"/>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CFB8361-EA7B-4D9E-8392-869C37D07175}"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24.5</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ata Preparation'!$M$4">
      <xdr:nvSpPr>
        <xdr:cNvPr id="10" name="Rectangle: Rounded Corners 9">
          <a:extLst>
            <a:ext uri="{FF2B5EF4-FFF2-40B4-BE49-F238E27FC236}">
              <a16:creationId xmlns:a16="http://schemas.microsoft.com/office/drawing/2014/main" id="{7A2AB793-10D6-4CBE-8672-C505D14866FA}"/>
            </a:ext>
          </a:extLst>
        </xdr:cNvPr>
        <xdr:cNvSpPr/>
      </xdr:nvSpPr>
      <xdr:spPr>
        <a:xfrm>
          <a:off x="5792591" y="862930"/>
          <a:ext cx="1393225" cy="74220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5818CD4-B947-46C0-A5BE-179A6190BC18}"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84.7</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121920</xdr:colOff>
      <xdr:row>9</xdr:row>
      <xdr:rowOff>167640</xdr:rowOff>
    </xdr:from>
    <xdr:to>
      <xdr:col>7</xdr:col>
      <xdr:colOff>114300</xdr:colOff>
      <xdr:row>16</xdr:row>
      <xdr:rowOff>22860</xdr:rowOff>
    </xdr:to>
    <xdr:sp macro="" textlink="">
      <xdr:nvSpPr>
        <xdr:cNvPr id="14" name="Rectangle: Rounded Corners 13">
          <a:extLst>
            <a:ext uri="{FF2B5EF4-FFF2-40B4-BE49-F238E27FC236}">
              <a16:creationId xmlns:a16="http://schemas.microsoft.com/office/drawing/2014/main" id="{DFA7C0AF-767B-4A53-B256-0820C81DE70E}"/>
            </a:ext>
          </a:extLst>
        </xdr:cNvPr>
        <xdr:cNvSpPr/>
      </xdr:nvSpPr>
      <xdr:spPr>
        <a:xfrm>
          <a:off x="2560320" y="1813560"/>
          <a:ext cx="1821180" cy="11353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556260</xdr:colOff>
      <xdr:row>10</xdr:row>
      <xdr:rowOff>15240</xdr:rowOff>
    </xdr:from>
    <xdr:to>
      <xdr:col>17</xdr:col>
      <xdr:colOff>0</xdr:colOff>
      <xdr:row>15</xdr:row>
      <xdr:rowOff>167640</xdr:rowOff>
    </xdr:to>
    <xdr:sp macro="" textlink="">
      <xdr:nvSpPr>
        <xdr:cNvPr id="15" name="Rectangle: Rounded Corners 14">
          <a:extLst>
            <a:ext uri="{FF2B5EF4-FFF2-40B4-BE49-F238E27FC236}">
              <a16:creationId xmlns:a16="http://schemas.microsoft.com/office/drawing/2014/main" id="{FC7526F8-6A26-43A8-9032-D7DC24F84F5F}"/>
            </a:ext>
          </a:extLst>
        </xdr:cNvPr>
        <xdr:cNvSpPr/>
      </xdr:nvSpPr>
      <xdr:spPr>
        <a:xfrm>
          <a:off x="8481060" y="1844040"/>
          <a:ext cx="188214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386080</xdr:colOff>
      <xdr:row>10</xdr:row>
      <xdr:rowOff>15240</xdr:rowOff>
    </xdr:from>
    <xdr:to>
      <xdr:col>13</xdr:col>
      <xdr:colOff>424180</xdr:colOff>
      <xdr:row>15</xdr:row>
      <xdr:rowOff>167640</xdr:rowOff>
    </xdr:to>
    <xdr:sp macro="" textlink="">
      <xdr:nvSpPr>
        <xdr:cNvPr id="16" name="Rectangle: Rounded Corners 15">
          <a:extLst>
            <a:ext uri="{FF2B5EF4-FFF2-40B4-BE49-F238E27FC236}">
              <a16:creationId xmlns:a16="http://schemas.microsoft.com/office/drawing/2014/main" id="{54E47C98-C6CA-4B7D-85B3-5FCCB1DF2253}"/>
            </a:ext>
          </a:extLst>
        </xdr:cNvPr>
        <xdr:cNvSpPr/>
      </xdr:nvSpPr>
      <xdr:spPr>
        <a:xfrm>
          <a:off x="6482080" y="1844040"/>
          <a:ext cx="186690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246380</xdr:colOff>
      <xdr:row>10</xdr:row>
      <xdr:rowOff>7620</xdr:rowOff>
    </xdr:from>
    <xdr:to>
      <xdr:col>10</xdr:col>
      <xdr:colOff>254000</xdr:colOff>
      <xdr:row>16</xdr:row>
      <xdr:rowOff>7620</xdr:rowOff>
    </xdr:to>
    <xdr:sp macro="" textlink="">
      <xdr:nvSpPr>
        <xdr:cNvPr id="17" name="Rectangle: Rounded Corners 16">
          <a:extLst>
            <a:ext uri="{FF2B5EF4-FFF2-40B4-BE49-F238E27FC236}">
              <a16:creationId xmlns:a16="http://schemas.microsoft.com/office/drawing/2014/main" id="{45649555-64BF-4326-B4BF-B0FA61033D7A}"/>
            </a:ext>
          </a:extLst>
        </xdr:cNvPr>
        <xdr:cNvSpPr/>
      </xdr:nvSpPr>
      <xdr:spPr>
        <a:xfrm>
          <a:off x="4513580" y="1836420"/>
          <a:ext cx="1836420" cy="10972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9</xdr:row>
      <xdr:rowOff>167640</xdr:rowOff>
    </xdr:from>
    <xdr:to>
      <xdr:col>7</xdr:col>
      <xdr:colOff>60960</xdr:colOff>
      <xdr:row>18</xdr:row>
      <xdr:rowOff>152520</xdr:rowOff>
    </xdr:to>
    <xdr:grpSp>
      <xdr:nvGrpSpPr>
        <xdr:cNvPr id="18" name="Group 17">
          <a:extLst>
            <a:ext uri="{FF2B5EF4-FFF2-40B4-BE49-F238E27FC236}">
              <a16:creationId xmlns:a16="http://schemas.microsoft.com/office/drawing/2014/main" id="{DC608133-F57E-4A77-B885-5FDF58846690}"/>
            </a:ext>
          </a:extLst>
        </xdr:cNvPr>
        <xdr:cNvGrpSpPr/>
      </xdr:nvGrpSpPr>
      <xdr:grpSpPr>
        <a:xfrm>
          <a:off x="2644734" y="1770809"/>
          <a:ext cx="1711135" cy="1588049"/>
          <a:chOff x="15848061" y="5670929"/>
          <a:chExt cx="3486727" cy="1860357"/>
        </a:xfrm>
      </xdr:grpSpPr>
      <xdr:graphicFrame macro="">
        <xdr:nvGraphicFramePr>
          <xdr:cNvPr id="19" name="Chart 18">
            <a:extLst>
              <a:ext uri="{FF2B5EF4-FFF2-40B4-BE49-F238E27FC236}">
                <a16:creationId xmlns:a16="http://schemas.microsoft.com/office/drawing/2014/main" id="{11AD8512-33AB-1707-9858-71CD333A561A}"/>
              </a:ext>
            </a:extLst>
          </xdr:cNvPr>
          <xdr:cNvGraphicFramePr/>
        </xdr:nvGraphicFramePr>
        <xdr:xfrm>
          <a:off x="15848061" y="5670929"/>
          <a:ext cx="3486727" cy="1860357"/>
        </xdr:xfrm>
        <a:graphic>
          <a:graphicData uri="http://schemas.openxmlformats.org/drawingml/2006/chart">
            <c:chart xmlns:c="http://schemas.openxmlformats.org/drawingml/2006/chart" xmlns:r="http://schemas.openxmlformats.org/officeDocument/2006/relationships" r:id="rId1"/>
          </a:graphicData>
        </a:graphic>
      </xdr:graphicFrame>
      <xdr:sp macro="" textlink="'Data Preparation'!$F$25">
        <xdr:nvSpPr>
          <xdr:cNvPr id="20" name="TextBox 19">
            <a:extLst>
              <a:ext uri="{FF2B5EF4-FFF2-40B4-BE49-F238E27FC236}">
                <a16:creationId xmlns:a16="http://schemas.microsoft.com/office/drawing/2014/main" id="{2C860D7E-8E4E-1B73-44A8-9BD30A88FB01}"/>
              </a:ext>
            </a:extLst>
          </xdr:cNvPr>
          <xdr:cNvSpPr txBox="1"/>
        </xdr:nvSpPr>
        <xdr:spPr>
          <a:xfrm>
            <a:off x="17020727" y="6527031"/>
            <a:ext cx="1126602" cy="309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03C038-900B-4C76-9C88-5E47D5E256FF}"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pPr/>
              <a:t>74.1</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clientData/>
  </xdr:twoCellAnchor>
  <xdr:twoCellAnchor>
    <xdr:from>
      <xdr:col>7</xdr:col>
      <xdr:colOff>351164</xdr:colOff>
      <xdr:row>9</xdr:row>
      <xdr:rowOff>167640</xdr:rowOff>
    </xdr:from>
    <xdr:to>
      <xdr:col>10</xdr:col>
      <xdr:colOff>221564</xdr:colOff>
      <xdr:row>18</xdr:row>
      <xdr:rowOff>152400</xdr:rowOff>
    </xdr:to>
    <xdr:grpSp>
      <xdr:nvGrpSpPr>
        <xdr:cNvPr id="21" name="Group 20">
          <a:extLst>
            <a:ext uri="{FF2B5EF4-FFF2-40B4-BE49-F238E27FC236}">
              <a16:creationId xmlns:a16="http://schemas.microsoft.com/office/drawing/2014/main" id="{134A7187-3F7A-4356-8AB1-48A7B3B2937A}"/>
            </a:ext>
          </a:extLst>
        </xdr:cNvPr>
        <xdr:cNvGrpSpPr/>
      </xdr:nvGrpSpPr>
      <xdr:grpSpPr>
        <a:xfrm>
          <a:off x="4646073" y="1770809"/>
          <a:ext cx="1711075" cy="1587929"/>
          <a:chOff x="12892426" y="5711151"/>
          <a:chExt cx="3417455" cy="1847274"/>
        </a:xfrm>
      </xdr:grpSpPr>
      <xdr:graphicFrame macro="">
        <xdr:nvGraphicFramePr>
          <xdr:cNvPr id="22" name="Chart 21">
            <a:extLst>
              <a:ext uri="{FF2B5EF4-FFF2-40B4-BE49-F238E27FC236}">
                <a16:creationId xmlns:a16="http://schemas.microsoft.com/office/drawing/2014/main" id="{4772CCFF-7D44-7250-B9D9-DB8DA4FDB6A3}"/>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2"/>
          </a:graphicData>
        </a:graphic>
      </xdr:graphicFrame>
      <xdr:sp macro="" textlink="'Data Preparation'!$I$4">
        <xdr:nvSpPr>
          <xdr:cNvPr id="23" name="TextBox 22">
            <a:extLst>
              <a:ext uri="{FF2B5EF4-FFF2-40B4-BE49-F238E27FC236}">
                <a16:creationId xmlns:a16="http://schemas.microsoft.com/office/drawing/2014/main" id="{03ED101F-6997-A333-FC9E-410DC10AEFD8}"/>
              </a:ext>
            </a:extLst>
          </xdr:cNvPr>
          <xdr:cNvSpPr txBox="1"/>
        </xdr:nvSpPr>
        <xdr:spPr>
          <a:xfrm>
            <a:off x="14254925" y="6534727"/>
            <a:ext cx="685032" cy="330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21078D-F998-40B8-9CA0-4D4EDA867372}" type="TxLink">
              <a:rPr lang="en-US" sz="1400" b="1" i="0" u="none" strike="noStrike">
                <a:solidFill>
                  <a:srgbClr val="FFE082"/>
                </a:solidFill>
                <a:latin typeface="Source Sans Pro" panose="020B0503030403020204" pitchFamily="34" charset="0"/>
                <a:ea typeface="Source Sans Pro" panose="020B0503030403020204" pitchFamily="34" charset="0"/>
                <a:cs typeface="Calibri"/>
              </a:rPr>
              <a:pPr algn="ctr"/>
              <a:t>9</a:t>
            </a:fld>
            <a:endParaRPr lang="en-IN" sz="1400" b="1">
              <a:solidFill>
                <a:srgbClr val="FFE082"/>
              </a:solidFill>
              <a:latin typeface="Source Sans Pro" panose="020B0503030403020204" pitchFamily="34" charset="0"/>
              <a:ea typeface="Source Sans Pro" panose="020B0503030403020204" pitchFamily="34" charset="0"/>
            </a:endParaRPr>
          </a:p>
        </xdr:txBody>
      </xdr:sp>
    </xdr:grpSp>
    <xdr:clientData/>
  </xdr:twoCellAnchor>
  <xdr:twoCellAnchor>
    <xdr:from>
      <xdr:col>10</xdr:col>
      <xdr:colOff>511768</xdr:colOff>
      <xdr:row>9</xdr:row>
      <xdr:rowOff>141357</xdr:rowOff>
    </xdr:from>
    <xdr:to>
      <xdr:col>13</xdr:col>
      <xdr:colOff>385768</xdr:colOff>
      <xdr:row>18</xdr:row>
      <xdr:rowOff>126237</xdr:rowOff>
    </xdr:to>
    <xdr:grpSp>
      <xdr:nvGrpSpPr>
        <xdr:cNvPr id="24" name="Group 23">
          <a:extLst>
            <a:ext uri="{FF2B5EF4-FFF2-40B4-BE49-F238E27FC236}">
              <a16:creationId xmlns:a16="http://schemas.microsoft.com/office/drawing/2014/main" id="{69C2BB36-3610-4E57-B05A-FD55E3D01A42}"/>
            </a:ext>
          </a:extLst>
        </xdr:cNvPr>
        <xdr:cNvGrpSpPr/>
      </xdr:nvGrpSpPr>
      <xdr:grpSpPr>
        <a:xfrm>
          <a:off x="6647352" y="1744526"/>
          <a:ext cx="1714676" cy="1588049"/>
          <a:chOff x="8697575" y="7745463"/>
          <a:chExt cx="3502122" cy="1837266"/>
        </a:xfrm>
      </xdr:grpSpPr>
      <xdr:graphicFrame macro="">
        <xdr:nvGraphicFramePr>
          <xdr:cNvPr id="25" name="Chart 24">
            <a:extLst>
              <a:ext uri="{FF2B5EF4-FFF2-40B4-BE49-F238E27FC236}">
                <a16:creationId xmlns:a16="http://schemas.microsoft.com/office/drawing/2014/main" id="{A69E23E6-AF2E-E433-4D4F-4C323681D51D}"/>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3"/>
          </a:graphicData>
        </a:graphic>
      </xdr:graphicFrame>
      <xdr:sp macro="" textlink="'Data Preparation'!$L$25">
        <xdr:nvSpPr>
          <xdr:cNvPr id="26" name="TextBox 25">
            <a:extLst>
              <a:ext uri="{FF2B5EF4-FFF2-40B4-BE49-F238E27FC236}">
                <a16:creationId xmlns:a16="http://schemas.microsoft.com/office/drawing/2014/main" id="{5B77585C-3806-1B36-C790-26081173E6C5}"/>
              </a:ext>
            </a:extLst>
          </xdr:cNvPr>
          <xdr:cNvSpPr txBox="1"/>
        </xdr:nvSpPr>
        <xdr:spPr>
          <a:xfrm>
            <a:off x="9631267" y="8624161"/>
            <a:ext cx="1733705" cy="275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AFB38D-E1B5-46F3-88BC-F860958A776F}"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06:03:17</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14</xdr:col>
      <xdr:colOff>68580</xdr:colOff>
      <xdr:row>9</xdr:row>
      <xdr:rowOff>152399</xdr:rowOff>
    </xdr:from>
    <xdr:to>
      <xdr:col>16</xdr:col>
      <xdr:colOff>548580</xdr:colOff>
      <xdr:row>18</xdr:row>
      <xdr:rowOff>137279</xdr:rowOff>
    </xdr:to>
    <xdr:grpSp>
      <xdr:nvGrpSpPr>
        <xdr:cNvPr id="27" name="Group 26">
          <a:extLst>
            <a:ext uri="{FF2B5EF4-FFF2-40B4-BE49-F238E27FC236}">
              <a16:creationId xmlns:a16="http://schemas.microsoft.com/office/drawing/2014/main" id="{8620AE7A-7BD0-4BB7-AD15-2C96D3F09B4C}"/>
            </a:ext>
          </a:extLst>
        </xdr:cNvPr>
        <xdr:cNvGrpSpPr/>
      </xdr:nvGrpSpPr>
      <xdr:grpSpPr>
        <a:xfrm>
          <a:off x="8658398" y="1755568"/>
          <a:ext cx="1707117" cy="1588049"/>
          <a:chOff x="12769277" y="7722368"/>
          <a:chExt cx="3440547" cy="1891146"/>
        </a:xfrm>
      </xdr:grpSpPr>
      <xdr:graphicFrame macro="">
        <xdr:nvGraphicFramePr>
          <xdr:cNvPr id="28" name="Chart 27">
            <a:extLst>
              <a:ext uri="{FF2B5EF4-FFF2-40B4-BE49-F238E27FC236}">
                <a16:creationId xmlns:a16="http://schemas.microsoft.com/office/drawing/2014/main" id="{B15EAB2B-DD9F-BF46-FFD0-246A42F411AD}"/>
              </a:ext>
            </a:extLst>
          </xdr:cNvPr>
          <xdr:cNvGraphicFramePr/>
        </xdr:nvGraphicFramePr>
        <xdr:xfrm>
          <a:off x="12769277" y="7722368"/>
          <a:ext cx="3440547" cy="1891146"/>
        </xdr:xfrm>
        <a:graphic>
          <a:graphicData uri="http://schemas.openxmlformats.org/drawingml/2006/chart">
            <c:chart xmlns:c="http://schemas.openxmlformats.org/drawingml/2006/chart" xmlns:r="http://schemas.openxmlformats.org/officeDocument/2006/relationships" r:id="rId4"/>
          </a:graphicData>
        </a:graphic>
      </xdr:graphicFrame>
      <xdr:sp macro="" textlink="'Data Preparation'!$M$25">
        <xdr:nvSpPr>
          <xdr:cNvPr id="29" name="TextBox 28">
            <a:extLst>
              <a:ext uri="{FF2B5EF4-FFF2-40B4-BE49-F238E27FC236}">
                <a16:creationId xmlns:a16="http://schemas.microsoft.com/office/drawing/2014/main" id="{4D9C425A-6E69-AAA0-404A-F1FF1D804024}"/>
              </a:ext>
            </a:extLst>
          </xdr:cNvPr>
          <xdr:cNvSpPr txBox="1"/>
        </xdr:nvSpPr>
        <xdr:spPr>
          <a:xfrm>
            <a:off x="13688119" y="8616997"/>
            <a:ext cx="1698464" cy="323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41A7F8-26E0-4629-8CDF-BCB726CA9D28}"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17:57:06</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4</xdr:col>
      <xdr:colOff>129540</xdr:colOff>
      <xdr:row>15</xdr:row>
      <xdr:rowOff>144780</xdr:rowOff>
    </xdr:from>
    <xdr:to>
      <xdr:col>11</xdr:col>
      <xdr:colOff>121920</xdr:colOff>
      <xdr:row>29</xdr:row>
      <xdr:rowOff>160020</xdr:rowOff>
    </xdr:to>
    <xdr:grpSp>
      <xdr:nvGrpSpPr>
        <xdr:cNvPr id="39" name="Group 38">
          <a:extLst>
            <a:ext uri="{FF2B5EF4-FFF2-40B4-BE49-F238E27FC236}">
              <a16:creationId xmlns:a16="http://schemas.microsoft.com/office/drawing/2014/main" id="{B20CABD9-710B-B4AA-3645-386A439928F0}"/>
            </a:ext>
          </a:extLst>
        </xdr:cNvPr>
        <xdr:cNvGrpSpPr/>
      </xdr:nvGrpSpPr>
      <xdr:grpSpPr>
        <a:xfrm>
          <a:off x="2583774" y="2816728"/>
          <a:ext cx="4287289" cy="2509058"/>
          <a:chOff x="2575961" y="2851885"/>
          <a:chExt cx="4273617" cy="2541872"/>
        </a:xfrm>
      </xdr:grpSpPr>
      <xdr:sp macro="" textlink="">
        <xdr:nvSpPr>
          <xdr:cNvPr id="30" name="Rectangle: Rounded Corners 29">
            <a:extLst>
              <a:ext uri="{FF2B5EF4-FFF2-40B4-BE49-F238E27FC236}">
                <a16:creationId xmlns:a16="http://schemas.microsoft.com/office/drawing/2014/main" id="{0E30B699-B0FF-4BB8-8C18-6A7453CF2405}"/>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4" name="Chart 33">
            <a:extLst>
              <a:ext uri="{FF2B5EF4-FFF2-40B4-BE49-F238E27FC236}">
                <a16:creationId xmlns:a16="http://schemas.microsoft.com/office/drawing/2014/main" id="{BC5B13CF-F6AC-4E06-B2B6-20E38CD579D2}"/>
              </a:ext>
            </a:extLst>
          </xdr:cNvPr>
          <xdr:cNvGraphicFramePr>
            <a:graphicFrameLocks/>
          </xdr:cNvGraphicFramePr>
        </xdr:nvGraphicFramePr>
        <xdr:xfrm>
          <a:off x="2789321" y="2851885"/>
          <a:ext cx="4060257" cy="25418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381000</xdr:colOff>
      <xdr:row>17</xdr:row>
      <xdr:rowOff>15240</xdr:rowOff>
    </xdr:from>
    <xdr:to>
      <xdr:col>17</xdr:col>
      <xdr:colOff>38100</xdr:colOff>
      <xdr:row>29</xdr:row>
      <xdr:rowOff>175260</xdr:rowOff>
    </xdr:to>
    <xdr:grpSp>
      <xdr:nvGrpSpPr>
        <xdr:cNvPr id="38" name="Group 37">
          <a:extLst>
            <a:ext uri="{FF2B5EF4-FFF2-40B4-BE49-F238E27FC236}">
              <a16:creationId xmlns:a16="http://schemas.microsoft.com/office/drawing/2014/main" id="{9838F46C-3DEE-92CF-9DA9-90349403447E}"/>
            </a:ext>
          </a:extLst>
        </xdr:cNvPr>
        <xdr:cNvGrpSpPr/>
      </xdr:nvGrpSpPr>
      <xdr:grpSpPr>
        <a:xfrm>
          <a:off x="6516584" y="3043448"/>
          <a:ext cx="3952010" cy="2297578"/>
          <a:chOff x="6497053" y="3083293"/>
          <a:chExt cx="3938336" cy="2325704"/>
        </a:xfrm>
      </xdr:grpSpPr>
      <xdr:sp macro="" textlink="">
        <xdr:nvSpPr>
          <xdr:cNvPr id="33" name="Rectangle: Rounded Corners 32">
            <a:extLst>
              <a:ext uri="{FF2B5EF4-FFF2-40B4-BE49-F238E27FC236}">
                <a16:creationId xmlns:a16="http://schemas.microsoft.com/office/drawing/2014/main" id="{169028B2-83E3-4061-A54B-BDB467C7D454}"/>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5" name="Chart 34">
            <a:extLst>
              <a:ext uri="{FF2B5EF4-FFF2-40B4-BE49-F238E27FC236}">
                <a16:creationId xmlns:a16="http://schemas.microsoft.com/office/drawing/2014/main" id="{3F90D157-41EF-40B4-98A4-7387EAC8DDF6}"/>
              </a:ext>
            </a:extLst>
          </xdr:cNvPr>
          <xdr:cNvGraphicFramePr>
            <a:graphicFrameLocks/>
          </xdr:cNvGraphicFramePr>
        </xdr:nvGraphicFramePr>
        <xdr:xfrm>
          <a:off x="6497053" y="3121393"/>
          <a:ext cx="3938336" cy="218854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10</xdr:col>
      <xdr:colOff>481263</xdr:colOff>
      <xdr:row>31</xdr:row>
      <xdr:rowOff>17246</xdr:rowOff>
    </xdr:from>
    <xdr:to>
      <xdr:col>17</xdr:col>
      <xdr:colOff>245848</xdr:colOff>
      <xdr:row>45</xdr:row>
      <xdr:rowOff>136758</xdr:rowOff>
    </xdr:to>
    <xdr:grpSp>
      <xdr:nvGrpSpPr>
        <xdr:cNvPr id="37" name="Group 36">
          <a:extLst>
            <a:ext uri="{FF2B5EF4-FFF2-40B4-BE49-F238E27FC236}">
              <a16:creationId xmlns:a16="http://schemas.microsoft.com/office/drawing/2014/main" id="{7778FC61-53A1-1174-DFD4-50ED03FF5E8C}"/>
            </a:ext>
          </a:extLst>
        </xdr:cNvPr>
        <xdr:cNvGrpSpPr/>
      </xdr:nvGrpSpPr>
      <xdr:grpSpPr>
        <a:xfrm>
          <a:off x="6616847" y="5539272"/>
          <a:ext cx="4059495" cy="2613330"/>
          <a:chOff x="6597316" y="5611930"/>
          <a:chExt cx="4045821" cy="2646144"/>
        </a:xfrm>
      </xdr:grpSpPr>
      <xdr:sp macro="" textlink="">
        <xdr:nvSpPr>
          <xdr:cNvPr id="32" name="Rectangle: Rounded Corners 31">
            <a:extLst>
              <a:ext uri="{FF2B5EF4-FFF2-40B4-BE49-F238E27FC236}">
                <a16:creationId xmlns:a16="http://schemas.microsoft.com/office/drawing/2014/main" id="{A5064615-F9C2-4838-8506-6332AACEB531}"/>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6" name="Chart 35">
            <a:extLst>
              <a:ext uri="{FF2B5EF4-FFF2-40B4-BE49-F238E27FC236}">
                <a16:creationId xmlns:a16="http://schemas.microsoft.com/office/drawing/2014/main" id="{2D60A120-7245-433A-9E39-2EC759FC16BB}"/>
              </a:ext>
            </a:extLst>
          </xdr:cNvPr>
          <xdr:cNvGraphicFramePr>
            <a:graphicFrameLocks/>
          </xdr:cNvGraphicFramePr>
        </xdr:nvGraphicFramePr>
        <xdr:xfrm>
          <a:off x="6645845" y="5624763"/>
          <a:ext cx="3997292" cy="2633311"/>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21829</xdr:colOff>
      <xdr:row>5</xdr:row>
      <xdr:rowOff>11096</xdr:rowOff>
    </xdr:from>
    <xdr:to>
      <xdr:col>3</xdr:col>
      <xdr:colOff>192276</xdr:colOff>
      <xdr:row>8</xdr:row>
      <xdr:rowOff>1070</xdr:rowOff>
    </xdr:to>
    <xdr:sp macro="" textlink="">
      <xdr:nvSpPr>
        <xdr:cNvPr id="46" name="TextBox 45">
          <a:hlinkClick xmlns:r="http://schemas.openxmlformats.org/officeDocument/2006/relationships" r:id="rId8"/>
          <a:extLst>
            <a:ext uri="{FF2B5EF4-FFF2-40B4-BE49-F238E27FC236}">
              <a16:creationId xmlns:a16="http://schemas.microsoft.com/office/drawing/2014/main" id="{72650D14-6A4C-43A1-9982-25E5BE3285F3}"/>
            </a:ext>
          </a:extLst>
        </xdr:cNvPr>
        <xdr:cNvSpPr txBox="1"/>
      </xdr:nvSpPr>
      <xdr:spPr>
        <a:xfrm>
          <a:off x="21829" y="918239"/>
          <a:ext cx="1984733" cy="534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rgbClr val="F4F7FA"/>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280920</xdr:colOff>
      <xdr:row>7</xdr:row>
      <xdr:rowOff>117519</xdr:rowOff>
    </xdr:from>
    <xdr:to>
      <xdr:col>3</xdr:col>
      <xdr:colOff>484020</xdr:colOff>
      <xdr:row>10</xdr:row>
      <xdr:rowOff>43912</xdr:rowOff>
    </xdr:to>
    <xdr:sp macro="" textlink="">
      <xdr:nvSpPr>
        <xdr:cNvPr id="47" name="TextBox 46">
          <a:hlinkClick xmlns:r="http://schemas.openxmlformats.org/officeDocument/2006/relationships" r:id="rId9"/>
          <a:extLst>
            <a:ext uri="{FF2B5EF4-FFF2-40B4-BE49-F238E27FC236}">
              <a16:creationId xmlns:a16="http://schemas.microsoft.com/office/drawing/2014/main" id="{C1F792F7-FDCE-4A46-B832-1CD17B570AE0}"/>
            </a:ext>
          </a:extLst>
        </xdr:cNvPr>
        <xdr:cNvSpPr txBox="1"/>
      </xdr:nvSpPr>
      <xdr:spPr>
        <a:xfrm>
          <a:off x="280920" y="1387519"/>
          <a:ext cx="2017386" cy="470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rgbClr val="F4F7FA"/>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28906</xdr:colOff>
      <xdr:row>9</xdr:row>
      <xdr:rowOff>172458</xdr:rowOff>
    </xdr:from>
    <xdr:to>
      <xdr:col>3</xdr:col>
      <xdr:colOff>199353</xdr:colOff>
      <xdr:row>12</xdr:row>
      <xdr:rowOff>162431</xdr:rowOff>
    </xdr:to>
    <xdr:sp macro="" textlink="">
      <xdr:nvSpPr>
        <xdr:cNvPr id="48" name="TextBox 47">
          <a:hlinkClick xmlns:r="http://schemas.openxmlformats.org/officeDocument/2006/relationships" r:id="rId10"/>
          <a:extLst>
            <a:ext uri="{FF2B5EF4-FFF2-40B4-BE49-F238E27FC236}">
              <a16:creationId xmlns:a16="http://schemas.microsoft.com/office/drawing/2014/main" id="{94E60BB2-95EA-48F2-BD21-4B6CBBF5B2FD}"/>
            </a:ext>
          </a:extLst>
        </xdr:cNvPr>
        <xdr:cNvSpPr txBox="1"/>
      </xdr:nvSpPr>
      <xdr:spPr>
        <a:xfrm>
          <a:off x="28906" y="1805315"/>
          <a:ext cx="1984733" cy="534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rgbClr val="F4F7FA"/>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12</xdr:row>
      <xdr:rowOff>121644</xdr:rowOff>
    </xdr:from>
    <xdr:to>
      <xdr:col>3</xdr:col>
      <xdr:colOff>48969</xdr:colOff>
      <xdr:row>15</xdr:row>
      <xdr:rowOff>111618</xdr:rowOff>
    </xdr:to>
    <xdr:sp macro="" textlink="">
      <xdr:nvSpPr>
        <xdr:cNvPr id="49" name="TextBox 48">
          <a:hlinkClick xmlns:r="http://schemas.openxmlformats.org/officeDocument/2006/relationships" r:id="rId11"/>
          <a:extLst>
            <a:ext uri="{FF2B5EF4-FFF2-40B4-BE49-F238E27FC236}">
              <a16:creationId xmlns:a16="http://schemas.microsoft.com/office/drawing/2014/main" id="{6B08E7AD-6515-4E57-A410-0AA212FFAD85}"/>
            </a:ext>
          </a:extLst>
        </xdr:cNvPr>
        <xdr:cNvSpPr txBox="1"/>
      </xdr:nvSpPr>
      <xdr:spPr>
        <a:xfrm>
          <a:off x="0" y="2298787"/>
          <a:ext cx="1863255" cy="534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rgbClr val="F4F7FA"/>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100263</xdr:colOff>
      <xdr:row>2</xdr:row>
      <xdr:rowOff>5571</xdr:rowOff>
    </xdr:from>
    <xdr:to>
      <xdr:col>3</xdr:col>
      <xdr:colOff>481263</xdr:colOff>
      <xdr:row>5</xdr:row>
      <xdr:rowOff>15599</xdr:rowOff>
    </xdr:to>
    <xdr:grpSp>
      <xdr:nvGrpSpPr>
        <xdr:cNvPr id="56" name="Group 55">
          <a:extLst>
            <a:ext uri="{FF2B5EF4-FFF2-40B4-BE49-F238E27FC236}">
              <a16:creationId xmlns:a16="http://schemas.microsoft.com/office/drawing/2014/main" id="{F52E8D5F-80B4-8907-8FDF-4488D51AF0AD}"/>
            </a:ext>
          </a:extLst>
        </xdr:cNvPr>
        <xdr:cNvGrpSpPr/>
      </xdr:nvGrpSpPr>
      <xdr:grpSpPr>
        <a:xfrm>
          <a:off x="100263" y="361831"/>
          <a:ext cx="2221675" cy="544417"/>
          <a:chOff x="100263" y="465716"/>
          <a:chExt cx="2203174" cy="573246"/>
        </a:xfrm>
      </xdr:grpSpPr>
      <xdr:sp macro="" textlink="">
        <xdr:nvSpPr>
          <xdr:cNvPr id="50" name="Rectangle: Rounded Corners 49">
            <a:extLst>
              <a:ext uri="{FF2B5EF4-FFF2-40B4-BE49-F238E27FC236}">
                <a16:creationId xmlns:a16="http://schemas.microsoft.com/office/drawing/2014/main" id="{EB3DFBE1-0EA8-39C1-42A4-88071EB86E88}"/>
              </a:ext>
            </a:extLst>
          </xdr:cNvPr>
          <xdr:cNvSpPr/>
        </xdr:nvSpPr>
        <xdr:spPr>
          <a:xfrm>
            <a:off x="100263" y="465716"/>
            <a:ext cx="2203174" cy="573243"/>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5" name="TextBox 44">
            <a:hlinkClick xmlns:r="http://schemas.openxmlformats.org/officeDocument/2006/relationships" r:id="rId12"/>
            <a:extLst>
              <a:ext uri="{FF2B5EF4-FFF2-40B4-BE49-F238E27FC236}">
                <a16:creationId xmlns:a16="http://schemas.microsoft.com/office/drawing/2014/main" id="{FEB8046D-4D96-064A-C12D-C1772E0D84A6}"/>
              </a:ext>
            </a:extLst>
          </xdr:cNvPr>
          <xdr:cNvSpPr txBox="1"/>
        </xdr:nvSpPr>
        <xdr:spPr>
          <a:xfrm>
            <a:off x="320842" y="485770"/>
            <a:ext cx="1912410" cy="553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tx1"/>
                </a:solidFill>
                <a:latin typeface="Source Sans Pro" panose="020B0503030403020204" pitchFamily="34" charset="0"/>
                <a:ea typeface="Source Sans Pro" panose="020B0503030403020204" pitchFamily="34" charset="0"/>
              </a:rPr>
              <a:t>DASHBOARD</a:t>
            </a:r>
          </a:p>
        </xdr:txBody>
      </xdr:sp>
    </xdr:grpSp>
    <xdr:clientData/>
  </xdr:twoCellAnchor>
  <xdr:twoCellAnchor>
    <xdr:from>
      <xdr:col>4</xdr:col>
      <xdr:colOff>210552</xdr:colOff>
      <xdr:row>0</xdr:row>
      <xdr:rowOff>140369</xdr:rowOff>
    </xdr:from>
    <xdr:to>
      <xdr:col>15</xdr:col>
      <xdr:colOff>210551</xdr:colOff>
      <xdr:row>3</xdr:row>
      <xdr:rowOff>0</xdr:rowOff>
    </xdr:to>
    <xdr:sp macro="" textlink="">
      <xdr:nvSpPr>
        <xdr:cNvPr id="51" name="TextBox 50">
          <a:extLst>
            <a:ext uri="{FF2B5EF4-FFF2-40B4-BE49-F238E27FC236}">
              <a16:creationId xmlns:a16="http://schemas.microsoft.com/office/drawing/2014/main" id="{DEE042BF-7928-9045-5EA1-053910071369}"/>
            </a:ext>
          </a:extLst>
        </xdr:cNvPr>
        <xdr:cNvSpPr txBox="1"/>
      </xdr:nvSpPr>
      <xdr:spPr>
        <a:xfrm>
          <a:off x="2639427" y="140369"/>
          <a:ext cx="6679405" cy="39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ysClr val="windowText" lastClr="000000"/>
              </a:solidFill>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TAMIL NADU</a:t>
          </a:r>
          <a:r>
            <a:rPr lang="en-IN" sz="2400" b="1" baseline="0">
              <a:solidFill>
                <a:srgbClr val="0078D4"/>
              </a:solidFill>
              <a:latin typeface="Source Sans Pro" panose="020B0503030403020204" pitchFamily="34" charset="0"/>
              <a:ea typeface="Source Sans Pro" panose="020B0503030403020204" pitchFamily="34" charset="0"/>
            </a:rPr>
            <a:t> </a:t>
          </a:r>
          <a:r>
            <a:rPr lang="en-IN" sz="2400" b="1">
              <a:solidFill>
                <a:sysClr val="windowText" lastClr="000000"/>
              </a:solidFill>
              <a:latin typeface="Source Sans Pro" panose="020B0503030403020204" pitchFamily="34" charset="0"/>
              <a:ea typeface="Source Sans Pro" panose="020B0503030403020204" pitchFamily="34" charset="0"/>
            </a:rPr>
            <a:t>Overview</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52" name="TextBox 51">
          <a:extLst>
            <a:ext uri="{FF2B5EF4-FFF2-40B4-BE49-F238E27FC236}">
              <a16:creationId xmlns:a16="http://schemas.microsoft.com/office/drawing/2014/main" id="{9B2139FE-7B31-9FC7-19B2-C207D8173BB9}"/>
            </a:ext>
          </a:extLst>
        </xdr:cNvPr>
        <xdr:cNvSpPr txBox="1"/>
      </xdr:nvSpPr>
      <xdr:spPr>
        <a:xfrm>
          <a:off x="2679532" y="884822"/>
          <a:ext cx="1495175" cy="266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5</xdr:row>
      <xdr:rowOff>1807</xdr:rowOff>
    </xdr:from>
    <xdr:to>
      <xdr:col>9</xdr:col>
      <xdr:colOff>303972</xdr:colOff>
      <xdr:row>6</xdr:row>
      <xdr:rowOff>90164</xdr:rowOff>
    </xdr:to>
    <xdr:sp macro="" textlink="">
      <xdr:nvSpPr>
        <xdr:cNvPr id="53" name="TextBox 52">
          <a:extLst>
            <a:ext uri="{FF2B5EF4-FFF2-40B4-BE49-F238E27FC236}">
              <a16:creationId xmlns:a16="http://schemas.microsoft.com/office/drawing/2014/main" id="{252F1137-DDE2-45D3-9CA4-76C4E4EB6E9A}"/>
            </a:ext>
          </a:extLst>
        </xdr:cNvPr>
        <xdr:cNvSpPr txBox="1"/>
      </xdr:nvSpPr>
      <xdr:spPr>
        <a:xfrm>
          <a:off x="4273765" y="894776"/>
          <a:ext cx="1495176" cy="266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416267</xdr:colOff>
      <xdr:row>5</xdr:row>
      <xdr:rowOff>11961</xdr:rowOff>
    </xdr:from>
    <xdr:to>
      <xdr:col>12</xdr:col>
      <xdr:colOff>85399</xdr:colOff>
      <xdr:row>6</xdr:row>
      <xdr:rowOff>102197</xdr:rowOff>
    </xdr:to>
    <xdr:sp macro="" textlink="">
      <xdr:nvSpPr>
        <xdr:cNvPr id="54" name="TextBox 53">
          <a:extLst>
            <a:ext uri="{FF2B5EF4-FFF2-40B4-BE49-F238E27FC236}">
              <a16:creationId xmlns:a16="http://schemas.microsoft.com/office/drawing/2014/main" id="{B58F9B2B-9CC0-4EB5-BE23-34F15DA182A5}"/>
            </a:ext>
          </a:extLst>
        </xdr:cNvPr>
        <xdr:cNvSpPr txBox="1"/>
      </xdr:nvSpPr>
      <xdr:spPr>
        <a:xfrm>
          <a:off x="5881236" y="904930"/>
          <a:ext cx="1490788" cy="268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123093</xdr:colOff>
      <xdr:row>5</xdr:row>
      <xdr:rowOff>14960</xdr:rowOff>
    </xdr:from>
    <xdr:to>
      <xdr:col>14</xdr:col>
      <xdr:colOff>403830</xdr:colOff>
      <xdr:row>6</xdr:row>
      <xdr:rowOff>105196</xdr:rowOff>
    </xdr:to>
    <xdr:sp macro="" textlink="">
      <xdr:nvSpPr>
        <xdr:cNvPr id="55" name="TextBox 54">
          <a:extLst>
            <a:ext uri="{FF2B5EF4-FFF2-40B4-BE49-F238E27FC236}">
              <a16:creationId xmlns:a16="http://schemas.microsoft.com/office/drawing/2014/main" id="{4B3EACB6-E6AC-4BEB-9522-505AF4AFF183}"/>
            </a:ext>
          </a:extLst>
        </xdr:cNvPr>
        <xdr:cNvSpPr txBox="1"/>
      </xdr:nvSpPr>
      <xdr:spPr>
        <a:xfrm>
          <a:off x="7375231" y="934615"/>
          <a:ext cx="1489427" cy="274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14</xdr:col>
      <xdr:colOff>448707</xdr:colOff>
      <xdr:row>5</xdr:row>
      <xdr:rowOff>29555</xdr:rowOff>
    </xdr:from>
    <xdr:to>
      <xdr:col>17</xdr:col>
      <xdr:colOff>125934</xdr:colOff>
      <xdr:row>6</xdr:row>
      <xdr:rowOff>117288</xdr:rowOff>
    </xdr:to>
    <xdr:sp macro="" textlink="">
      <xdr:nvSpPr>
        <xdr:cNvPr id="65" name="TextBox 64">
          <a:extLst>
            <a:ext uri="{FF2B5EF4-FFF2-40B4-BE49-F238E27FC236}">
              <a16:creationId xmlns:a16="http://schemas.microsoft.com/office/drawing/2014/main" id="{DDCB4ADE-9943-4561-A710-81D5CE3B9A87}"/>
            </a:ext>
          </a:extLst>
        </xdr:cNvPr>
        <xdr:cNvSpPr txBox="1"/>
      </xdr:nvSpPr>
      <xdr:spPr>
        <a:xfrm>
          <a:off x="8909535" y="949210"/>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286213</xdr:colOff>
      <xdr:row>0</xdr:row>
      <xdr:rowOff>0</xdr:rowOff>
    </xdr:from>
    <xdr:to>
      <xdr:col>15</xdr:col>
      <xdr:colOff>404453</xdr:colOff>
      <xdr:row>3</xdr:row>
      <xdr:rowOff>170793</xdr:rowOff>
    </xdr:to>
    <xdr:pic macro="[0]!Refresh_Dashboard">
      <xdr:nvPicPr>
        <xdr:cNvPr id="67" name="Graphic 66" descr="Arrow circle with solid fill">
          <a:extLst>
            <a:ext uri="{FF2B5EF4-FFF2-40B4-BE49-F238E27FC236}">
              <a16:creationId xmlns:a16="http://schemas.microsoft.com/office/drawing/2014/main" id="{D0293E4F-198D-1217-2A21-4E06495C9F9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781102" y="0"/>
          <a:ext cx="725018" cy="721126"/>
        </a:xfrm>
        <a:prstGeom prst="rect">
          <a:avLst/>
        </a:prstGeom>
      </xdr:spPr>
    </xdr:pic>
    <xdr:clientData/>
  </xdr:twoCellAnchor>
  <xdr:twoCellAnchor>
    <xdr:from>
      <xdr:col>4</xdr:col>
      <xdr:colOff>136759</xdr:colOff>
      <xdr:row>30</xdr:row>
      <xdr:rowOff>150394</xdr:rowOff>
    </xdr:from>
    <xdr:to>
      <xdr:col>10</xdr:col>
      <xdr:colOff>334879</xdr:colOff>
      <xdr:row>45</xdr:row>
      <xdr:rowOff>70185</xdr:rowOff>
    </xdr:to>
    <xdr:grpSp>
      <xdr:nvGrpSpPr>
        <xdr:cNvPr id="69" name="Group 68">
          <a:extLst>
            <a:ext uri="{FF2B5EF4-FFF2-40B4-BE49-F238E27FC236}">
              <a16:creationId xmlns:a16="http://schemas.microsoft.com/office/drawing/2014/main" id="{42ADB72F-3EEB-D3C1-9B72-41257C842E5C}"/>
            </a:ext>
          </a:extLst>
        </xdr:cNvPr>
        <xdr:cNvGrpSpPr/>
      </xdr:nvGrpSpPr>
      <xdr:grpSpPr>
        <a:xfrm>
          <a:off x="2590993" y="5494290"/>
          <a:ext cx="3879470" cy="2591739"/>
          <a:chOff x="2569001" y="5692212"/>
          <a:chExt cx="3846484" cy="2690700"/>
        </a:xfrm>
      </xdr:grpSpPr>
      <xdr:grpSp>
        <xdr:nvGrpSpPr>
          <xdr:cNvPr id="44" name="Group 43">
            <a:extLst>
              <a:ext uri="{FF2B5EF4-FFF2-40B4-BE49-F238E27FC236}">
                <a16:creationId xmlns:a16="http://schemas.microsoft.com/office/drawing/2014/main" id="{FF196CBD-5860-7313-E9E5-AF24991BC67F}"/>
              </a:ext>
            </a:extLst>
          </xdr:cNvPr>
          <xdr:cNvGrpSpPr/>
        </xdr:nvGrpSpPr>
        <xdr:grpSpPr>
          <a:xfrm>
            <a:off x="2569001" y="5692212"/>
            <a:ext cx="3846484" cy="2690700"/>
            <a:chOff x="2583180" y="5564605"/>
            <a:chExt cx="3867752" cy="2626896"/>
          </a:xfrm>
        </xdr:grpSpPr>
        <xdr:sp macro="" textlink="">
          <xdr:nvSpPr>
            <xdr:cNvPr id="41" name="Rectangle: Rounded Corners 40">
              <a:extLst>
                <a:ext uri="{FF2B5EF4-FFF2-40B4-BE49-F238E27FC236}">
                  <a16:creationId xmlns:a16="http://schemas.microsoft.com/office/drawing/2014/main" id="{7B2CC2F6-95EC-42E8-8F54-118C7923455D}"/>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tsle="http://schemas.microsoft.com/office/drawing/2012/timeslicer">
          <mc:Choice Requires="tsle">
            <xdr:graphicFrame macro="">
              <xdr:nvGraphicFramePr>
                <xdr:cNvPr id="42" name="Date">
                  <a:extLst>
                    <a:ext uri="{FF2B5EF4-FFF2-40B4-BE49-F238E27FC236}">
                      <a16:creationId xmlns:a16="http://schemas.microsoft.com/office/drawing/2014/main" id="{B2F54858-AE67-4130-8F7F-D13E9C35F9FD}"/>
                    </a:ext>
                  </a:extLst>
                </xdr:cNvPr>
                <xdr:cNvGraphicFramePr/>
              </xdr:nvGraphicFramePr>
              <xdr:xfrm>
                <a:off x="2687054" y="5564605"/>
                <a:ext cx="3559342" cy="842211"/>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695182" y="5494290"/>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43" name="Date 1">
                  <a:extLst>
                    <a:ext uri="{FF2B5EF4-FFF2-40B4-BE49-F238E27FC236}">
                      <a16:creationId xmlns:a16="http://schemas.microsoft.com/office/drawing/2014/main" id="{CA4D6015-5FBC-4963-9252-2AAAF44A9321}"/>
                    </a:ext>
                  </a:extLst>
                </xdr:cNvPr>
                <xdr:cNvGraphicFramePr/>
              </xdr:nvGraphicFramePr>
              <xdr:xfrm>
                <a:off x="2677028" y="6414321"/>
                <a:ext cx="3589420" cy="1676916"/>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2685125" y="6332634"/>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68" name="TextBox 67">
            <a:extLst>
              <a:ext uri="{FF2B5EF4-FFF2-40B4-BE49-F238E27FC236}">
                <a16:creationId xmlns:a16="http://schemas.microsoft.com/office/drawing/2014/main" id="{8DD5CFE9-9C93-B06E-59C7-FABB05DD6BBE}"/>
              </a:ext>
            </a:extLst>
          </xdr:cNvPr>
          <xdr:cNvSpPr txBox="1"/>
        </xdr:nvSpPr>
        <xdr:spPr>
          <a:xfrm>
            <a:off x="3532910" y="5765030"/>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366889</xdr:colOff>
      <xdr:row>0</xdr:row>
      <xdr:rowOff>0</xdr:rowOff>
    </xdr:from>
    <xdr:to>
      <xdr:col>16</xdr:col>
      <xdr:colOff>520973</xdr:colOff>
      <xdr:row>4</xdr:row>
      <xdr:rowOff>27084</xdr:rowOff>
    </xdr:to>
    <xdr:pic>
      <xdr:nvPicPr>
        <xdr:cNvPr id="71" name="Picture 70">
          <a:extLst>
            <a:ext uri="{FF2B5EF4-FFF2-40B4-BE49-F238E27FC236}">
              <a16:creationId xmlns:a16="http://schemas.microsoft.com/office/drawing/2014/main" id="{4125C68E-37AF-4744-A5D2-883FB3F634E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468556" y="0"/>
          <a:ext cx="760861" cy="760862"/>
        </a:xfrm>
        <a:prstGeom prst="rect">
          <a:avLst/>
        </a:prstGeom>
      </xdr:spPr>
    </xdr:pic>
    <xdr:clientData/>
  </xdr:twoCellAnchor>
  <xdr:twoCellAnchor editAs="oneCell">
    <xdr:from>
      <xdr:col>4</xdr:col>
      <xdr:colOff>292692</xdr:colOff>
      <xdr:row>4</xdr:row>
      <xdr:rowOff>129607</xdr:rowOff>
    </xdr:from>
    <xdr:to>
      <xdr:col>4</xdr:col>
      <xdr:colOff>566574</xdr:colOff>
      <xdr:row>8</xdr:row>
      <xdr:rowOff>157829</xdr:rowOff>
    </xdr:to>
    <xdr:pic>
      <xdr:nvPicPr>
        <xdr:cNvPr id="72" name="Picture 71">
          <a:extLst>
            <a:ext uri="{FF2B5EF4-FFF2-40B4-BE49-F238E27FC236}">
              <a16:creationId xmlns:a16="http://schemas.microsoft.com/office/drawing/2014/main" id="{2A078A80-07B4-493B-AEA0-6FAD6D3D3018}"/>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719803" y="863385"/>
          <a:ext cx="273882" cy="762000"/>
        </a:xfrm>
        <a:prstGeom prst="rect">
          <a:avLst/>
        </a:prstGeom>
      </xdr:spPr>
    </xdr:pic>
    <xdr:clientData/>
  </xdr:twoCellAnchor>
  <xdr:twoCellAnchor editAs="oneCell">
    <xdr:from>
      <xdr:col>6</xdr:col>
      <xdr:colOff>564444</xdr:colOff>
      <xdr:row>4</xdr:row>
      <xdr:rowOff>126999</xdr:rowOff>
    </xdr:from>
    <xdr:to>
      <xdr:col>7</xdr:col>
      <xdr:colOff>300565</xdr:colOff>
      <xdr:row>8</xdr:row>
      <xdr:rowOff>128723</xdr:rowOff>
    </xdr:to>
    <xdr:pic>
      <xdr:nvPicPr>
        <xdr:cNvPr id="73" name="Picture 72">
          <a:extLst>
            <a:ext uri="{FF2B5EF4-FFF2-40B4-BE49-F238E27FC236}">
              <a16:creationId xmlns:a16="http://schemas.microsoft.com/office/drawing/2014/main" id="{756F03D8-B6C3-45FE-9D26-B06734B8761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05111" y="860777"/>
          <a:ext cx="342898" cy="735502"/>
        </a:xfrm>
        <a:prstGeom prst="rect">
          <a:avLst/>
        </a:prstGeom>
      </xdr:spPr>
    </xdr:pic>
    <xdr:clientData/>
  </xdr:twoCellAnchor>
  <xdr:twoCellAnchor editAs="oneCell">
    <xdr:from>
      <xdr:col>12</xdr:col>
      <xdr:colOff>122035</xdr:colOff>
      <xdr:row>5</xdr:row>
      <xdr:rowOff>79481</xdr:rowOff>
    </xdr:from>
    <xdr:to>
      <xdr:col>12</xdr:col>
      <xdr:colOff>444290</xdr:colOff>
      <xdr:row>8</xdr:row>
      <xdr:rowOff>97418</xdr:rowOff>
    </xdr:to>
    <xdr:pic>
      <xdr:nvPicPr>
        <xdr:cNvPr id="74" name="Picture 73">
          <a:extLst>
            <a:ext uri="{FF2B5EF4-FFF2-40B4-BE49-F238E27FC236}">
              <a16:creationId xmlns:a16="http://schemas.microsoft.com/office/drawing/2014/main" id="{B208BB82-338A-4361-B68B-2F97722BFDF6}"/>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03368" y="996703"/>
          <a:ext cx="322255" cy="568271"/>
        </a:xfrm>
        <a:prstGeom prst="rect">
          <a:avLst/>
        </a:prstGeom>
      </xdr:spPr>
    </xdr:pic>
    <xdr:clientData/>
  </xdr:twoCellAnchor>
  <xdr:twoCellAnchor editAs="oneCell">
    <xdr:from>
      <xdr:col>9</xdr:col>
      <xdr:colOff>345703</xdr:colOff>
      <xdr:row>5</xdr:row>
      <xdr:rowOff>100930</xdr:rowOff>
    </xdr:from>
    <xdr:to>
      <xdr:col>10</xdr:col>
      <xdr:colOff>127001</xdr:colOff>
      <xdr:row>8</xdr:row>
      <xdr:rowOff>83996</xdr:rowOff>
    </xdr:to>
    <xdr:pic>
      <xdr:nvPicPr>
        <xdr:cNvPr id="75" name="Picture 74">
          <a:extLst>
            <a:ext uri="{FF2B5EF4-FFF2-40B4-BE49-F238E27FC236}">
              <a16:creationId xmlns:a16="http://schemas.microsoft.com/office/drawing/2014/main" id="{7E7B2B0C-522F-4022-8566-5ACFCE940B6E}"/>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06703" y="1018152"/>
          <a:ext cx="388076" cy="533400"/>
        </a:xfrm>
        <a:prstGeom prst="rect">
          <a:avLst/>
        </a:prstGeom>
      </xdr:spPr>
    </xdr:pic>
    <xdr:clientData/>
  </xdr:twoCellAnchor>
  <xdr:twoCellAnchor editAs="oneCell">
    <xdr:from>
      <xdr:col>14</xdr:col>
      <xdr:colOff>495420</xdr:colOff>
      <xdr:row>5</xdr:row>
      <xdr:rowOff>178938</xdr:rowOff>
    </xdr:from>
    <xdr:to>
      <xdr:col>15</xdr:col>
      <xdr:colOff>176671</xdr:colOff>
      <xdr:row>8</xdr:row>
      <xdr:rowOff>55986</xdr:rowOff>
    </xdr:to>
    <xdr:pic>
      <xdr:nvPicPr>
        <xdr:cNvPr id="76" name="Picture 75" descr="Cloud Generic color fill icon">
          <a:extLst>
            <a:ext uri="{FF2B5EF4-FFF2-40B4-BE49-F238E27FC236}">
              <a16:creationId xmlns:a16="http://schemas.microsoft.com/office/drawing/2014/main" id="{3D7090FD-537D-4DEC-8F55-97142A3A5A35}"/>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8990309" y="1096160"/>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402896</xdr:colOff>
      <xdr:row>10</xdr:row>
      <xdr:rowOff>54788</xdr:rowOff>
    </xdr:from>
    <xdr:to>
      <xdr:col>8</xdr:col>
      <xdr:colOff>149858</xdr:colOff>
      <xdr:row>12</xdr:row>
      <xdr:rowOff>58761</xdr:rowOff>
    </xdr:to>
    <xdr:pic>
      <xdr:nvPicPr>
        <xdr:cNvPr id="78" name="Picture 77" descr="UV radiation icon solar ultraviolet light symbol for graphic design ...">
          <a:extLst>
            <a:ext uri="{FF2B5EF4-FFF2-40B4-BE49-F238E27FC236}">
              <a16:creationId xmlns:a16="http://schemas.microsoft.com/office/drawing/2014/main" id="{F833AFF2-44FB-4067-8BF8-1A73700E371E}"/>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694620" y="1894098"/>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252861</xdr:colOff>
      <xdr:row>10</xdr:row>
      <xdr:rowOff>26276</xdr:rowOff>
    </xdr:from>
    <xdr:to>
      <xdr:col>4</xdr:col>
      <xdr:colOff>587813</xdr:colOff>
      <xdr:row>12</xdr:row>
      <xdr:rowOff>1</xdr:rowOff>
    </xdr:to>
    <xdr:pic>
      <xdr:nvPicPr>
        <xdr:cNvPr id="79" name="Picture 78">
          <a:extLst>
            <a:ext uri="{FF2B5EF4-FFF2-40B4-BE49-F238E27FC236}">
              <a16:creationId xmlns:a16="http://schemas.microsoft.com/office/drawing/2014/main" id="{9837DBCB-F08D-4A5A-8F7F-8B46668C2C6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705275" y="1865586"/>
          <a:ext cx="334952" cy="341587"/>
        </a:xfrm>
        <a:prstGeom prst="rect">
          <a:avLst/>
        </a:prstGeom>
      </xdr:spPr>
    </xdr:pic>
    <xdr:clientData/>
  </xdr:twoCellAnchor>
  <xdr:twoCellAnchor editAs="oneCell">
    <xdr:from>
      <xdr:col>10</xdr:col>
      <xdr:colOff>447391</xdr:colOff>
      <xdr:row>10</xdr:row>
      <xdr:rowOff>57282</xdr:rowOff>
    </xdr:from>
    <xdr:to>
      <xdr:col>11</xdr:col>
      <xdr:colOff>375991</xdr:colOff>
      <xdr:row>12</xdr:row>
      <xdr:rowOff>58177</xdr:rowOff>
    </xdr:to>
    <xdr:pic>
      <xdr:nvPicPr>
        <xdr:cNvPr id="80" name="Picture 79" descr="Sun rise logo Royalty Free Vector Image - VectorStock">
          <a:extLst>
            <a:ext uri="{FF2B5EF4-FFF2-40B4-BE49-F238E27FC236}">
              <a16:creationId xmlns:a16="http://schemas.microsoft.com/office/drawing/2014/main" id="{BE79D9A3-9043-47F4-BC40-CDCF6742E771}"/>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78425" y="1896592"/>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19</xdr:row>
      <xdr:rowOff>0</xdr:rowOff>
    </xdr:from>
    <xdr:to>
      <xdr:col>19</xdr:col>
      <xdr:colOff>304800</xdr:colOff>
      <xdr:row>20</xdr:row>
      <xdr:rowOff>121920</xdr:rowOff>
    </xdr:to>
    <xdr:sp macro="" textlink="">
      <xdr:nvSpPr>
        <xdr:cNvPr id="7174" name="AutoShape 6" descr="Sunset Vector PNG, Vector, PSD, and Clipart With Transparent Background ...">
          <a:extLst>
            <a:ext uri="{FF2B5EF4-FFF2-40B4-BE49-F238E27FC236}">
              <a16:creationId xmlns:a16="http://schemas.microsoft.com/office/drawing/2014/main" id="{FA51483E-F230-15C5-DE44-CD358E3C050E}"/>
            </a:ext>
          </a:extLst>
        </xdr:cNvPr>
        <xdr:cNvSpPr>
          <a:spLocks noChangeAspect="1" noChangeArrowheads="1"/>
        </xdr:cNvSpPr>
      </xdr:nvSpPr>
      <xdr:spPr bwMode="auto">
        <a:xfrm>
          <a:off x="11582400" y="3474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87587</xdr:colOff>
      <xdr:row>10</xdr:row>
      <xdr:rowOff>70069</xdr:rowOff>
    </xdr:from>
    <xdr:to>
      <xdr:col>14</xdr:col>
      <xdr:colOff>534277</xdr:colOff>
      <xdr:row>12</xdr:row>
      <xdr:rowOff>70069</xdr:rowOff>
    </xdr:to>
    <xdr:pic>
      <xdr:nvPicPr>
        <xdr:cNvPr id="81" name="Picture 80" descr="Sun Vector illustration Icon 9967049 Vector Art at Vecteezy">
          <a:extLst>
            <a:ext uri="{FF2B5EF4-FFF2-40B4-BE49-F238E27FC236}">
              <a16:creationId xmlns:a16="http://schemas.microsoft.com/office/drawing/2014/main" id="{B1FE9684-99C5-F877-7A93-A6D0279361CA}"/>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671035" y="1909379"/>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33AD6BAF-6E2E-465F-8D09-AB845DDBBB57}"/>
            </a:ext>
          </a:extLst>
        </xdr:cNvPr>
        <xdr:cNvSpPr/>
      </xdr:nvSpPr>
      <xdr:spPr>
        <a:xfrm>
          <a:off x="2442268" y="0"/>
          <a:ext cx="8215605" cy="8527534"/>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0</xdr:colOff>
      <xdr:row>45</xdr:row>
      <xdr:rowOff>61584</xdr:rowOff>
    </xdr:to>
    <xdr:grpSp>
      <xdr:nvGrpSpPr>
        <xdr:cNvPr id="3" name="Group 2">
          <a:extLst>
            <a:ext uri="{FF2B5EF4-FFF2-40B4-BE49-F238E27FC236}">
              <a16:creationId xmlns:a16="http://schemas.microsoft.com/office/drawing/2014/main" id="{153D557D-71D5-4CA7-9723-DD51E690985A}"/>
            </a:ext>
          </a:extLst>
        </xdr:cNvPr>
        <xdr:cNvGrpSpPr/>
      </xdr:nvGrpSpPr>
      <xdr:grpSpPr>
        <a:xfrm>
          <a:off x="0" y="0"/>
          <a:ext cx="2454234" cy="8077428"/>
          <a:chOff x="0" y="0"/>
          <a:chExt cx="2392680" cy="6393180"/>
        </a:xfrm>
      </xdr:grpSpPr>
      <xdr:sp macro="" textlink="">
        <xdr:nvSpPr>
          <xdr:cNvPr id="4" name="Rectangle: Rounded Corners 3">
            <a:extLst>
              <a:ext uri="{FF2B5EF4-FFF2-40B4-BE49-F238E27FC236}">
                <a16:creationId xmlns:a16="http://schemas.microsoft.com/office/drawing/2014/main" id="{9B297C2B-6A15-35EE-CA14-17B8078C8EA7}"/>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C9189CE4-8AD9-D978-4AE2-408914545D97}"/>
              </a:ext>
            </a:extLst>
          </xdr:cNvPr>
          <xdr:cNvSpPr/>
        </xdr:nvSpPr>
        <xdr:spPr>
          <a:xfrm>
            <a:off x="0" y="0"/>
            <a:ext cx="2194560" cy="6385560"/>
          </a:xfrm>
          <a:prstGeom prst="roundRect">
            <a:avLst>
              <a:gd name="adj" fmla="val 0"/>
            </a:avLst>
          </a:prstGeom>
          <a:gradFill flip="none" rotWithShape="1">
            <a:gsLst>
              <a:gs pos="0">
                <a:srgbClr val="5A7A94">
                  <a:shade val="30000"/>
                  <a:satMod val="115000"/>
                </a:srgbClr>
              </a:gs>
              <a:gs pos="49000">
                <a:srgbClr val="4F6D7A"/>
              </a:gs>
              <a:gs pos="100000">
                <a:srgbClr val="6A89A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38101</xdr:rowOff>
    </xdr:from>
    <xdr:to>
      <xdr:col>16</xdr:col>
      <xdr:colOff>606751</xdr:colOff>
      <xdr:row>3</xdr:row>
      <xdr:rowOff>130849</xdr:rowOff>
    </xdr:to>
    <xdr:sp macro="" textlink="">
      <xdr:nvSpPr>
        <xdr:cNvPr id="6" name="Rectangle: Rounded Corners 5">
          <a:extLst>
            <a:ext uri="{FF2B5EF4-FFF2-40B4-BE49-F238E27FC236}">
              <a16:creationId xmlns:a16="http://schemas.microsoft.com/office/drawing/2014/main" id="{F527B639-B002-4362-80C4-A5A8E33E802A}"/>
            </a:ext>
          </a:extLst>
        </xdr:cNvPr>
        <xdr:cNvSpPr/>
      </xdr:nvSpPr>
      <xdr:spPr>
        <a:xfrm>
          <a:off x="2561782" y="38101"/>
          <a:ext cx="7773939" cy="64693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13</xdr:col>
      <xdr:colOff>556260</xdr:colOff>
      <xdr:row>10</xdr:row>
      <xdr:rowOff>15240</xdr:rowOff>
    </xdr:from>
    <xdr:to>
      <xdr:col>17</xdr:col>
      <xdr:colOff>0</xdr:colOff>
      <xdr:row>15</xdr:row>
      <xdr:rowOff>167640</xdr:rowOff>
    </xdr:to>
    <xdr:sp macro="" textlink="">
      <xdr:nvSpPr>
        <xdr:cNvPr id="13" name="Rectangle: Rounded Corners 12">
          <a:extLst>
            <a:ext uri="{FF2B5EF4-FFF2-40B4-BE49-F238E27FC236}">
              <a16:creationId xmlns:a16="http://schemas.microsoft.com/office/drawing/2014/main" id="{B900D6CD-6355-408B-8C81-105E5D054F0D}"/>
            </a:ext>
          </a:extLst>
        </xdr:cNvPr>
        <xdr:cNvSpPr/>
      </xdr:nvSpPr>
      <xdr:spPr>
        <a:xfrm>
          <a:off x="8461048" y="1862513"/>
          <a:ext cx="1875982" cy="10760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126595</xdr:colOff>
      <xdr:row>7</xdr:row>
      <xdr:rowOff>163267</xdr:rowOff>
    </xdr:from>
    <xdr:to>
      <xdr:col>3</xdr:col>
      <xdr:colOff>460075</xdr:colOff>
      <xdr:row>10</xdr:row>
      <xdr:rowOff>143774</xdr:rowOff>
    </xdr:to>
    <xdr:sp macro="" textlink="">
      <xdr:nvSpPr>
        <xdr:cNvPr id="42" name="TextBox 41">
          <a:hlinkClick xmlns:r="http://schemas.openxmlformats.org/officeDocument/2006/relationships" r:id="rId1"/>
          <a:extLst>
            <a:ext uri="{FF2B5EF4-FFF2-40B4-BE49-F238E27FC236}">
              <a16:creationId xmlns:a16="http://schemas.microsoft.com/office/drawing/2014/main" id="{DCEC5992-7A2B-408B-8A18-A48C672C524D}"/>
            </a:ext>
          </a:extLst>
        </xdr:cNvPr>
        <xdr:cNvSpPr txBox="1"/>
      </xdr:nvSpPr>
      <xdr:spPr>
        <a:xfrm>
          <a:off x="126595" y="1471607"/>
          <a:ext cx="2145027" cy="541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0</xdr:colOff>
      <xdr:row>10</xdr:row>
      <xdr:rowOff>81195</xdr:rowOff>
    </xdr:from>
    <xdr:to>
      <xdr:col>3</xdr:col>
      <xdr:colOff>43132</xdr:colOff>
      <xdr:row>13</xdr:row>
      <xdr:rowOff>71170</xdr:rowOff>
    </xdr:to>
    <xdr:sp macro="" textlink="">
      <xdr:nvSpPr>
        <xdr:cNvPr id="43" name="TextBox 42">
          <a:hlinkClick xmlns:r="http://schemas.openxmlformats.org/officeDocument/2006/relationships" r:id="rId2"/>
          <a:extLst>
            <a:ext uri="{FF2B5EF4-FFF2-40B4-BE49-F238E27FC236}">
              <a16:creationId xmlns:a16="http://schemas.microsoft.com/office/drawing/2014/main" id="{3AE988A0-8AE4-417B-849F-78AAD6E19A45}"/>
            </a:ext>
          </a:extLst>
        </xdr:cNvPr>
        <xdr:cNvSpPr txBox="1"/>
      </xdr:nvSpPr>
      <xdr:spPr>
        <a:xfrm>
          <a:off x="0" y="1950252"/>
          <a:ext cx="1854679" cy="550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12</xdr:row>
      <xdr:rowOff>179549</xdr:rowOff>
    </xdr:from>
    <xdr:to>
      <xdr:col>2</xdr:col>
      <xdr:colOff>431321</xdr:colOff>
      <xdr:row>15</xdr:row>
      <xdr:rowOff>169182</xdr:rowOff>
    </xdr:to>
    <xdr:sp macro="" textlink="">
      <xdr:nvSpPr>
        <xdr:cNvPr id="45" name="TextBox 44">
          <a:hlinkClick xmlns:r="http://schemas.openxmlformats.org/officeDocument/2006/relationships" r:id="rId3"/>
          <a:extLst>
            <a:ext uri="{FF2B5EF4-FFF2-40B4-BE49-F238E27FC236}">
              <a16:creationId xmlns:a16="http://schemas.microsoft.com/office/drawing/2014/main" id="{22D29DFD-EA3D-469B-B008-9DE72E5D8AF9}"/>
            </a:ext>
          </a:extLst>
        </xdr:cNvPr>
        <xdr:cNvSpPr txBox="1"/>
      </xdr:nvSpPr>
      <xdr:spPr>
        <a:xfrm>
          <a:off x="0" y="2422417"/>
          <a:ext cx="1639019" cy="55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211498</xdr:colOff>
      <xdr:row>1</xdr:row>
      <xdr:rowOff>150601</xdr:rowOff>
    </xdr:from>
    <xdr:to>
      <xdr:col>3</xdr:col>
      <xdr:colOff>301734</xdr:colOff>
      <xdr:row>4</xdr:row>
      <xdr:rowOff>140575</xdr:rowOff>
    </xdr:to>
    <xdr:sp macro="" textlink="">
      <xdr:nvSpPr>
        <xdr:cNvPr id="46" name="TextBox 45">
          <a:hlinkClick xmlns:r="http://schemas.openxmlformats.org/officeDocument/2006/relationships" r:id="rId4"/>
          <a:extLst>
            <a:ext uri="{FF2B5EF4-FFF2-40B4-BE49-F238E27FC236}">
              <a16:creationId xmlns:a16="http://schemas.microsoft.com/office/drawing/2014/main" id="{1BB5630C-6BBE-4128-9749-C6D984A9667B}"/>
            </a:ext>
          </a:extLst>
        </xdr:cNvPr>
        <xdr:cNvSpPr txBox="1"/>
      </xdr:nvSpPr>
      <xdr:spPr>
        <a:xfrm>
          <a:off x="211498" y="337507"/>
          <a:ext cx="1901783" cy="550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47" name="TextBox 46">
          <a:extLst>
            <a:ext uri="{FF2B5EF4-FFF2-40B4-BE49-F238E27FC236}">
              <a16:creationId xmlns:a16="http://schemas.microsoft.com/office/drawing/2014/main" id="{1B355761-3970-4FE4-A142-B6273687B29F}"/>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CHENNAI </a:t>
          </a:r>
        </a:p>
      </xdr:txBody>
    </xdr:sp>
    <xdr:clientData/>
  </xdr:twoCellAnchor>
  <xdr:twoCellAnchor>
    <xdr:from>
      <xdr:col>0</xdr:col>
      <xdr:colOff>0</xdr:colOff>
      <xdr:row>5</xdr:row>
      <xdr:rowOff>13278</xdr:rowOff>
    </xdr:from>
    <xdr:to>
      <xdr:col>3</xdr:col>
      <xdr:colOff>481261</xdr:colOff>
      <xdr:row>7</xdr:row>
      <xdr:rowOff>140025</xdr:rowOff>
    </xdr:to>
    <xdr:grpSp>
      <xdr:nvGrpSpPr>
        <xdr:cNvPr id="71" name="Group 70">
          <a:extLst>
            <a:ext uri="{FF2B5EF4-FFF2-40B4-BE49-F238E27FC236}">
              <a16:creationId xmlns:a16="http://schemas.microsoft.com/office/drawing/2014/main" id="{5442E600-8699-FE92-14D9-2991E509B322}"/>
            </a:ext>
          </a:extLst>
        </xdr:cNvPr>
        <xdr:cNvGrpSpPr/>
      </xdr:nvGrpSpPr>
      <xdr:grpSpPr>
        <a:xfrm>
          <a:off x="0" y="903927"/>
          <a:ext cx="2321936" cy="483007"/>
          <a:chOff x="0" y="1012658"/>
          <a:chExt cx="2316077" cy="481263"/>
        </a:xfrm>
      </xdr:grpSpPr>
      <xdr:sp macro="" textlink="">
        <xdr:nvSpPr>
          <xdr:cNvPr id="44" name="Rectangle: Rounded Corners 43">
            <a:extLst>
              <a:ext uri="{FF2B5EF4-FFF2-40B4-BE49-F238E27FC236}">
                <a16:creationId xmlns:a16="http://schemas.microsoft.com/office/drawing/2014/main" id="{852A7960-A802-49B6-9461-DFB20A88AB25}"/>
              </a:ext>
            </a:extLst>
          </xdr:cNvPr>
          <xdr:cNvSpPr/>
        </xdr:nvSpPr>
        <xdr:spPr>
          <a:xfrm>
            <a:off x="180474" y="1012658"/>
            <a:ext cx="2135603" cy="467641"/>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TextBox 40">
            <a:hlinkClick xmlns:r="http://schemas.openxmlformats.org/officeDocument/2006/relationships" r:id="rId5"/>
            <a:extLst>
              <a:ext uri="{FF2B5EF4-FFF2-40B4-BE49-F238E27FC236}">
                <a16:creationId xmlns:a16="http://schemas.microsoft.com/office/drawing/2014/main" id="{85136B8D-4339-4263-A2E4-5F88CC1A3D4E}"/>
              </a:ext>
            </a:extLst>
          </xdr:cNvPr>
          <xdr:cNvSpPr txBox="1"/>
        </xdr:nvSpPr>
        <xdr:spPr>
          <a:xfrm>
            <a:off x="0" y="1043284"/>
            <a:ext cx="2057401" cy="450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ysClr val="windowText" lastClr="000000"/>
                </a:solidFill>
                <a:latin typeface="Source Sans Pro" panose="020B0503030403020204" pitchFamily="34" charset="0"/>
                <a:ea typeface="Source Sans Pro" panose="020B0503030403020204" pitchFamily="34" charset="0"/>
              </a:rPr>
              <a:t>CHENNAI</a:t>
            </a:r>
          </a:p>
        </xdr:txBody>
      </xdr:sp>
    </xdr:grpSp>
    <xdr:clientData/>
  </xdr:twoCellAnchor>
  <xdr:twoCellAnchor>
    <xdr:from>
      <xdr:col>4</xdr:col>
      <xdr:colOff>129617</xdr:colOff>
      <xdr:row>9</xdr:row>
      <xdr:rowOff>80212</xdr:rowOff>
    </xdr:from>
    <xdr:to>
      <xdr:col>7</xdr:col>
      <xdr:colOff>121997</xdr:colOff>
      <xdr:row>19</xdr:row>
      <xdr:rowOff>20053</xdr:rowOff>
    </xdr:to>
    <xdr:grpSp>
      <xdr:nvGrpSpPr>
        <xdr:cNvPr id="68" name="Group 67">
          <a:extLst>
            <a:ext uri="{FF2B5EF4-FFF2-40B4-BE49-F238E27FC236}">
              <a16:creationId xmlns:a16="http://schemas.microsoft.com/office/drawing/2014/main" id="{EEE0B557-3F0D-FDC3-5BC4-C84E5ACC92CA}"/>
            </a:ext>
          </a:extLst>
        </xdr:cNvPr>
        <xdr:cNvGrpSpPr/>
      </xdr:nvGrpSpPr>
      <xdr:grpSpPr>
        <a:xfrm>
          <a:off x="2583851" y="1683381"/>
          <a:ext cx="1833055" cy="1721140"/>
          <a:chOff x="2568341" y="1704475"/>
          <a:chExt cx="1827196" cy="1744578"/>
        </a:xfrm>
      </xdr:grpSpPr>
      <xdr:sp macro="" textlink="">
        <xdr:nvSpPr>
          <xdr:cNvPr id="12" name="Rectangle: Rounded Corners 11">
            <a:extLst>
              <a:ext uri="{FF2B5EF4-FFF2-40B4-BE49-F238E27FC236}">
                <a16:creationId xmlns:a16="http://schemas.microsoft.com/office/drawing/2014/main" id="{83178AF0-C67A-4F3D-B63D-1D4335B52AA5}"/>
              </a:ext>
            </a:extLst>
          </xdr:cNvPr>
          <xdr:cNvSpPr/>
        </xdr:nvSpPr>
        <xdr:spPr>
          <a:xfrm>
            <a:off x="2568341" y="1791903"/>
            <a:ext cx="1827196" cy="11185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2" name="Group 51">
            <a:extLst>
              <a:ext uri="{FF2B5EF4-FFF2-40B4-BE49-F238E27FC236}">
                <a16:creationId xmlns:a16="http://schemas.microsoft.com/office/drawing/2014/main" id="{1FDC6C7B-EFC9-465C-9F6B-E29E5F386943}"/>
              </a:ext>
            </a:extLst>
          </xdr:cNvPr>
          <xdr:cNvGrpSpPr/>
        </xdr:nvGrpSpPr>
        <xdr:grpSpPr>
          <a:xfrm>
            <a:off x="2662486" y="1704475"/>
            <a:ext cx="1641088" cy="1744578"/>
            <a:chOff x="15991694" y="5690370"/>
            <a:chExt cx="3589311" cy="1860357"/>
          </a:xfrm>
          <a:noFill/>
        </xdr:grpSpPr>
        <xdr:graphicFrame macro="">
          <xdr:nvGraphicFramePr>
            <xdr:cNvPr id="53" name="Chart 52">
              <a:extLst>
                <a:ext uri="{FF2B5EF4-FFF2-40B4-BE49-F238E27FC236}">
                  <a16:creationId xmlns:a16="http://schemas.microsoft.com/office/drawing/2014/main" id="{AA2195A4-52C0-FCD5-A707-526ADE39BAE8}"/>
                </a:ext>
              </a:extLst>
            </xdr:cNvPr>
            <xdr:cNvGraphicFramePr/>
          </xdr:nvGraphicFramePr>
          <xdr:xfrm>
            <a:off x="15991694" y="5690370"/>
            <a:ext cx="3589311" cy="1860357"/>
          </xdr:xfrm>
          <a:graphic>
            <a:graphicData uri="http://schemas.openxmlformats.org/drawingml/2006/chart">
              <c:chart xmlns:c="http://schemas.openxmlformats.org/drawingml/2006/chart" xmlns:r="http://schemas.openxmlformats.org/officeDocument/2006/relationships" r:id="rId6"/>
            </a:graphicData>
          </a:graphic>
        </xdr:graphicFrame>
        <xdr:sp macro="" textlink="DPCni!$F$25">
          <xdr:nvSpPr>
            <xdr:cNvPr id="54" name="TextBox 53">
              <a:extLst>
                <a:ext uri="{FF2B5EF4-FFF2-40B4-BE49-F238E27FC236}">
                  <a16:creationId xmlns:a16="http://schemas.microsoft.com/office/drawing/2014/main" id="{B178901A-FB79-1B1A-B966-A033EFA57CD9}"/>
                </a:ext>
              </a:extLst>
            </xdr:cNvPr>
            <xdr:cNvSpPr txBox="1"/>
          </xdr:nvSpPr>
          <xdr:spPr>
            <a:xfrm>
              <a:off x="17209698" y="6516339"/>
              <a:ext cx="1094425" cy="25389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E4D5B7-AA29-4F98-9A90-C839EAC9CB1F}"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pPr/>
                <a:t>78.9</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7</xdr:col>
      <xdr:colOff>281539</xdr:colOff>
      <xdr:row>9</xdr:row>
      <xdr:rowOff>100263</xdr:rowOff>
    </xdr:from>
    <xdr:to>
      <xdr:col>10</xdr:col>
      <xdr:colOff>289159</xdr:colOff>
      <xdr:row>19</xdr:row>
      <xdr:rowOff>82935</xdr:rowOff>
    </xdr:to>
    <xdr:grpSp>
      <xdr:nvGrpSpPr>
        <xdr:cNvPr id="69" name="Group 68">
          <a:extLst>
            <a:ext uri="{FF2B5EF4-FFF2-40B4-BE49-F238E27FC236}">
              <a16:creationId xmlns:a16="http://schemas.microsoft.com/office/drawing/2014/main" id="{1C10B95E-E76A-7E53-E35F-050FB7F52C44}"/>
            </a:ext>
          </a:extLst>
        </xdr:cNvPr>
        <xdr:cNvGrpSpPr/>
      </xdr:nvGrpSpPr>
      <xdr:grpSpPr>
        <a:xfrm>
          <a:off x="4576448" y="1703432"/>
          <a:ext cx="1848295" cy="1763971"/>
          <a:chOff x="4527617" y="1724526"/>
          <a:chExt cx="1842436" cy="1787409"/>
        </a:xfrm>
      </xdr:grpSpPr>
      <xdr:sp macro="" textlink="">
        <xdr:nvSpPr>
          <xdr:cNvPr id="15" name="Rectangle: Rounded Corners 14">
            <a:extLst>
              <a:ext uri="{FF2B5EF4-FFF2-40B4-BE49-F238E27FC236}">
                <a16:creationId xmlns:a16="http://schemas.microsoft.com/office/drawing/2014/main" id="{4DFA3CD8-161A-4F2E-9F96-3E8B940C8867}"/>
              </a:ext>
            </a:extLst>
          </xdr:cNvPr>
          <xdr:cNvSpPr/>
        </xdr:nvSpPr>
        <xdr:spPr>
          <a:xfrm>
            <a:off x="4527617" y="1812357"/>
            <a:ext cx="1842436" cy="1082842"/>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5" name="Group 54">
            <a:extLst>
              <a:ext uri="{FF2B5EF4-FFF2-40B4-BE49-F238E27FC236}">
                <a16:creationId xmlns:a16="http://schemas.microsoft.com/office/drawing/2014/main" id="{2613BBBF-19ED-487A-A878-1BEC7E201FEA}"/>
              </a:ext>
            </a:extLst>
          </xdr:cNvPr>
          <xdr:cNvGrpSpPr/>
        </xdr:nvGrpSpPr>
        <xdr:grpSpPr>
          <a:xfrm>
            <a:off x="4622132" y="1724526"/>
            <a:ext cx="1704473" cy="1787409"/>
            <a:chOff x="12892426" y="5711151"/>
            <a:chExt cx="3899108" cy="1847274"/>
          </a:xfrm>
        </xdr:grpSpPr>
        <xdr:graphicFrame macro="">
          <xdr:nvGraphicFramePr>
            <xdr:cNvPr id="56" name="Chart 55">
              <a:extLst>
                <a:ext uri="{FF2B5EF4-FFF2-40B4-BE49-F238E27FC236}">
                  <a16:creationId xmlns:a16="http://schemas.microsoft.com/office/drawing/2014/main" id="{6E9C2EED-205C-FD49-3B1B-68FF459C9C1A}"/>
                </a:ext>
              </a:extLst>
            </xdr:cNvPr>
            <xdr:cNvGraphicFramePr/>
          </xdr:nvGraphicFramePr>
          <xdr:xfrm>
            <a:off x="12892426" y="5711151"/>
            <a:ext cx="3899108" cy="1847274"/>
          </xdr:xfrm>
          <a:graphic>
            <a:graphicData uri="http://schemas.openxmlformats.org/drawingml/2006/chart">
              <c:chart xmlns:c="http://schemas.openxmlformats.org/drawingml/2006/chart" xmlns:r="http://schemas.openxmlformats.org/officeDocument/2006/relationships" r:id="rId7"/>
            </a:graphicData>
          </a:graphic>
        </xdr:graphicFrame>
        <xdr:sp macro="" textlink="DPCni!$I$4">
          <xdr:nvSpPr>
            <xdr:cNvPr id="57" name="TextBox 56">
              <a:extLst>
                <a:ext uri="{FF2B5EF4-FFF2-40B4-BE49-F238E27FC236}">
                  <a16:creationId xmlns:a16="http://schemas.microsoft.com/office/drawing/2014/main" id="{8C63B93C-8B4B-5970-0772-EAFA228FB29D}"/>
                </a:ext>
              </a:extLst>
            </xdr:cNvPr>
            <xdr:cNvSpPr txBox="1"/>
          </xdr:nvSpPr>
          <xdr:spPr>
            <a:xfrm>
              <a:off x="14469063" y="6503640"/>
              <a:ext cx="685030" cy="330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F58FAB6-80A0-4024-9DF1-6304CEE58179}" type="TxLink">
                <a:rPr lang="en-US" sz="1400" b="1" i="0" u="none" strike="noStrike">
                  <a:solidFill>
                    <a:srgbClr val="FFE082"/>
                  </a:solidFill>
                  <a:latin typeface="Source Sans Pro" panose="020B0503030403020204" pitchFamily="34" charset="0"/>
                  <a:ea typeface="Source Sans Pro" panose="020B0503030403020204" pitchFamily="34" charset="0"/>
                  <a:cs typeface="Calibri"/>
                </a:rPr>
                <a:pPr algn="ctr"/>
                <a:t>8</a:t>
              </a:fld>
              <a:endParaRPr lang="en-IN" sz="1400" b="1">
                <a:solidFill>
                  <a:srgbClr val="FFE082"/>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423333</xdr:colOff>
      <xdr:row>9</xdr:row>
      <xdr:rowOff>113329</xdr:rowOff>
    </xdr:from>
    <xdr:to>
      <xdr:col>13</xdr:col>
      <xdr:colOff>448316</xdr:colOff>
      <xdr:row>19</xdr:row>
      <xdr:rowOff>33118</xdr:rowOff>
    </xdr:to>
    <xdr:grpSp>
      <xdr:nvGrpSpPr>
        <xdr:cNvPr id="70" name="Group 69">
          <a:extLst>
            <a:ext uri="{FF2B5EF4-FFF2-40B4-BE49-F238E27FC236}">
              <a16:creationId xmlns:a16="http://schemas.microsoft.com/office/drawing/2014/main" id="{E4B01D13-D90C-3F67-5E80-A3293F22DD84}"/>
            </a:ext>
          </a:extLst>
        </xdr:cNvPr>
        <xdr:cNvGrpSpPr/>
      </xdr:nvGrpSpPr>
      <xdr:grpSpPr>
        <a:xfrm>
          <a:off x="6558917" y="1716498"/>
          <a:ext cx="1865659" cy="1701088"/>
          <a:chOff x="6502133" y="1714501"/>
          <a:chExt cx="1872915" cy="1724526"/>
        </a:xfrm>
      </xdr:grpSpPr>
      <xdr:sp macro="" textlink="">
        <xdr:nvSpPr>
          <xdr:cNvPr id="14" name="Rectangle: Rounded Corners 13">
            <a:extLst>
              <a:ext uri="{FF2B5EF4-FFF2-40B4-BE49-F238E27FC236}">
                <a16:creationId xmlns:a16="http://schemas.microsoft.com/office/drawing/2014/main" id="{06A59242-E7E6-4FC0-AD31-22B7D97D329E}"/>
              </a:ext>
            </a:extLst>
          </xdr:cNvPr>
          <xdr:cNvSpPr/>
        </xdr:nvSpPr>
        <xdr:spPr>
          <a:xfrm>
            <a:off x="6502133" y="1819977"/>
            <a:ext cx="1872915"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8" name="Group 57">
            <a:extLst>
              <a:ext uri="{FF2B5EF4-FFF2-40B4-BE49-F238E27FC236}">
                <a16:creationId xmlns:a16="http://schemas.microsoft.com/office/drawing/2014/main" id="{BFA985F6-5C62-4229-B31A-37963EAF789A}"/>
              </a:ext>
            </a:extLst>
          </xdr:cNvPr>
          <xdr:cNvGrpSpPr/>
        </xdr:nvGrpSpPr>
        <xdr:grpSpPr>
          <a:xfrm>
            <a:off x="6597316" y="1714501"/>
            <a:ext cx="1699200" cy="1724526"/>
            <a:chOff x="8697575" y="7745463"/>
            <a:chExt cx="3502122" cy="1837266"/>
          </a:xfrm>
        </xdr:grpSpPr>
        <xdr:graphicFrame macro="">
          <xdr:nvGraphicFramePr>
            <xdr:cNvPr id="59" name="Chart 58">
              <a:extLst>
                <a:ext uri="{FF2B5EF4-FFF2-40B4-BE49-F238E27FC236}">
                  <a16:creationId xmlns:a16="http://schemas.microsoft.com/office/drawing/2014/main" id="{EC3BB1FD-50FC-E658-BE9B-89931714632D}"/>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8"/>
            </a:graphicData>
          </a:graphic>
        </xdr:graphicFrame>
        <xdr:sp macro="" textlink="DPCni!$L$25">
          <xdr:nvSpPr>
            <xdr:cNvPr id="60" name="TextBox 59">
              <a:extLst>
                <a:ext uri="{FF2B5EF4-FFF2-40B4-BE49-F238E27FC236}">
                  <a16:creationId xmlns:a16="http://schemas.microsoft.com/office/drawing/2014/main" id="{BC18EC0F-B9C3-DED4-87A7-E874FE3B4BA3}"/>
                </a:ext>
              </a:extLst>
            </xdr:cNvPr>
            <xdr:cNvSpPr txBox="1"/>
          </xdr:nvSpPr>
          <xdr:spPr>
            <a:xfrm>
              <a:off x="9638948" y="8620910"/>
              <a:ext cx="1765694" cy="2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4A1924-8BB3-4F07-8692-187453D6AF34}"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06:03:17</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443557</xdr:colOff>
      <xdr:row>16</xdr:row>
      <xdr:rowOff>100061</xdr:rowOff>
    </xdr:from>
    <xdr:to>
      <xdr:col>17</xdr:col>
      <xdr:colOff>108347</xdr:colOff>
      <xdr:row>30</xdr:row>
      <xdr:rowOff>59764</xdr:rowOff>
    </xdr:to>
    <xdr:grpSp>
      <xdr:nvGrpSpPr>
        <xdr:cNvPr id="73" name="Group 72">
          <a:extLst>
            <a:ext uri="{FF2B5EF4-FFF2-40B4-BE49-F238E27FC236}">
              <a16:creationId xmlns:a16="http://schemas.microsoft.com/office/drawing/2014/main" id="{DDD4BC09-7C43-BFB7-09D5-0BEBC2E664AF}"/>
            </a:ext>
          </a:extLst>
        </xdr:cNvPr>
        <xdr:cNvGrpSpPr/>
      </xdr:nvGrpSpPr>
      <xdr:grpSpPr>
        <a:xfrm>
          <a:off x="6579141" y="2950139"/>
          <a:ext cx="3959700" cy="2453521"/>
          <a:chOff x="6557210" y="3007894"/>
          <a:chExt cx="3948426" cy="2401103"/>
        </a:xfrm>
      </xdr:grpSpPr>
      <xdr:sp macro="" textlink="">
        <xdr:nvSpPr>
          <xdr:cNvPr id="32" name="Rectangle: Rounded Corners 31">
            <a:extLst>
              <a:ext uri="{FF2B5EF4-FFF2-40B4-BE49-F238E27FC236}">
                <a16:creationId xmlns:a16="http://schemas.microsoft.com/office/drawing/2014/main" id="{77EDBE91-720A-8E1E-FBF3-E11671AD331D}"/>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4" name="Chart 63">
            <a:extLst>
              <a:ext uri="{FF2B5EF4-FFF2-40B4-BE49-F238E27FC236}">
                <a16:creationId xmlns:a16="http://schemas.microsoft.com/office/drawing/2014/main" id="{2681BB7A-6C2A-4348-BD49-223BFB979F16}"/>
              </a:ext>
            </a:extLst>
          </xdr:cNvPr>
          <xdr:cNvGraphicFramePr>
            <a:graphicFrameLocks/>
          </xdr:cNvGraphicFramePr>
        </xdr:nvGraphicFramePr>
        <xdr:xfrm>
          <a:off x="6557210" y="3007894"/>
          <a:ext cx="3948426" cy="2366211"/>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4</xdr:col>
      <xdr:colOff>129540</xdr:colOff>
      <xdr:row>16</xdr:row>
      <xdr:rowOff>100062</xdr:rowOff>
    </xdr:from>
    <xdr:to>
      <xdr:col>11</xdr:col>
      <xdr:colOff>100130</xdr:colOff>
      <xdr:row>31</xdr:row>
      <xdr:rowOff>50800</xdr:rowOff>
    </xdr:to>
    <xdr:grpSp>
      <xdr:nvGrpSpPr>
        <xdr:cNvPr id="72" name="Group 71">
          <a:extLst>
            <a:ext uri="{FF2B5EF4-FFF2-40B4-BE49-F238E27FC236}">
              <a16:creationId xmlns:a16="http://schemas.microsoft.com/office/drawing/2014/main" id="{DA1D8AE5-288B-A805-F54C-7E4DA3F71628}"/>
            </a:ext>
          </a:extLst>
        </xdr:cNvPr>
        <xdr:cNvGrpSpPr/>
      </xdr:nvGrpSpPr>
      <xdr:grpSpPr>
        <a:xfrm>
          <a:off x="2583774" y="2950140"/>
          <a:ext cx="4265499" cy="2622686"/>
          <a:chOff x="2575961" y="3007895"/>
          <a:chExt cx="4251960" cy="2527967"/>
        </a:xfrm>
      </xdr:grpSpPr>
      <xdr:sp macro="" textlink="">
        <xdr:nvSpPr>
          <xdr:cNvPr id="29" name="Rectangle: Rounded Corners 28">
            <a:extLst>
              <a:ext uri="{FF2B5EF4-FFF2-40B4-BE49-F238E27FC236}">
                <a16:creationId xmlns:a16="http://schemas.microsoft.com/office/drawing/2014/main" id="{09E2E119-5F42-2DDC-AAEE-19B0D7FD60F0}"/>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7" name="Chart 66">
            <a:extLst>
              <a:ext uri="{FF2B5EF4-FFF2-40B4-BE49-F238E27FC236}">
                <a16:creationId xmlns:a16="http://schemas.microsoft.com/office/drawing/2014/main" id="{A731E2FB-DCA5-4F74-94F6-1F05293D51AE}"/>
              </a:ext>
            </a:extLst>
          </xdr:cNvPr>
          <xdr:cNvGraphicFramePr>
            <a:graphicFrameLocks/>
          </xdr:cNvGraphicFramePr>
        </xdr:nvGraphicFramePr>
        <xdr:xfrm>
          <a:off x="2697078" y="3007895"/>
          <a:ext cx="4130843" cy="252796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4</xdr:col>
      <xdr:colOff>192150</xdr:colOff>
      <xdr:row>4</xdr:row>
      <xdr:rowOff>120787</xdr:rowOff>
    </xdr:from>
    <xdr:to>
      <xdr:col>17</xdr:col>
      <xdr:colOff>114736</xdr:colOff>
      <xdr:row>9</xdr:row>
      <xdr:rowOff>38484</xdr:rowOff>
    </xdr:to>
    <xdr:grpSp>
      <xdr:nvGrpSpPr>
        <xdr:cNvPr id="81" name="Group 80">
          <a:extLst>
            <a:ext uri="{FF2B5EF4-FFF2-40B4-BE49-F238E27FC236}">
              <a16:creationId xmlns:a16="http://schemas.microsoft.com/office/drawing/2014/main" id="{55DB6194-5307-171A-3DC4-9DFBE0CE656A}"/>
            </a:ext>
          </a:extLst>
        </xdr:cNvPr>
        <xdr:cNvGrpSpPr/>
      </xdr:nvGrpSpPr>
      <xdr:grpSpPr>
        <a:xfrm>
          <a:off x="2646384" y="833306"/>
          <a:ext cx="7898846" cy="808347"/>
          <a:chOff x="2624392" y="859697"/>
          <a:chExt cx="7827374" cy="806212"/>
        </a:xfrm>
      </xdr:grpSpPr>
      <xdr:sp macro="" textlink="DPCni!$B$25">
        <xdr:nvSpPr>
          <xdr:cNvPr id="7" name="Rectangle: Rounded Corners 6">
            <a:extLst>
              <a:ext uri="{FF2B5EF4-FFF2-40B4-BE49-F238E27FC236}">
                <a16:creationId xmlns:a16="http://schemas.microsoft.com/office/drawing/2014/main" id="{8829D2CA-9F87-494B-A68C-DE09A3EF907F}"/>
              </a:ext>
            </a:extLst>
          </xdr:cNvPr>
          <xdr:cNvSpPr/>
        </xdr:nvSpPr>
        <xdr:spPr>
          <a:xfrm>
            <a:off x="7385248" y="894237"/>
            <a:ext cx="1394908" cy="770993"/>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64979AD-DD27-4871-AF51-4036E80E09D5}"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14.8</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C$4">
        <xdr:nvSpPr>
          <xdr:cNvPr id="8" name="Rectangle: Rounded Corners 7">
            <a:extLst>
              <a:ext uri="{FF2B5EF4-FFF2-40B4-BE49-F238E27FC236}">
                <a16:creationId xmlns:a16="http://schemas.microsoft.com/office/drawing/2014/main" id="{98315064-EF12-4272-A07A-9D4ADF600152}"/>
              </a:ext>
            </a:extLst>
          </xdr:cNvPr>
          <xdr:cNvSpPr/>
        </xdr:nvSpPr>
        <xdr:spPr>
          <a:xfrm>
            <a:off x="4213019" y="869179"/>
            <a:ext cx="1393431" cy="76917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DF05F88A-7225-4F5F-9433-EB179BB97974}"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35.0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B$4">
        <xdr:nvSpPr>
          <xdr:cNvPr id="9" name="Rectangle: Rounded Corners 8">
            <a:extLst>
              <a:ext uri="{FF2B5EF4-FFF2-40B4-BE49-F238E27FC236}">
                <a16:creationId xmlns:a16="http://schemas.microsoft.com/office/drawing/2014/main" id="{4458E71D-A071-4DE5-A0B9-A0CEED8675F6}"/>
              </a:ext>
            </a:extLst>
          </xdr:cNvPr>
          <xdr:cNvSpPr/>
        </xdr:nvSpPr>
        <xdr:spPr>
          <a:xfrm>
            <a:off x="2624392" y="859697"/>
            <a:ext cx="1394910" cy="76917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9320B3C-DEDE-4D4F-B330-F009B929741D}"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26.0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P$4">
        <xdr:nvSpPr>
          <xdr:cNvPr id="10" name="Rectangle: Rounded Corners 9">
            <a:extLst>
              <a:ext uri="{FF2B5EF4-FFF2-40B4-BE49-F238E27FC236}">
                <a16:creationId xmlns:a16="http://schemas.microsoft.com/office/drawing/2014/main" id="{D8DD59F6-6CE7-48A8-81A4-792F042FAC01}"/>
              </a:ext>
            </a:extLst>
          </xdr:cNvPr>
          <xdr:cNvSpPr/>
        </xdr:nvSpPr>
        <xdr:spPr>
          <a:xfrm>
            <a:off x="8973872" y="894916"/>
            <a:ext cx="1393433" cy="770993"/>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25F25B3C-DCDA-47E1-A71C-FAB5CDAF5617}"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58.1</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DPCni!$M$4">
        <xdr:nvSpPr>
          <xdr:cNvPr id="11" name="Rectangle: Rounded Corners 10">
            <a:extLst>
              <a:ext uri="{FF2B5EF4-FFF2-40B4-BE49-F238E27FC236}">
                <a16:creationId xmlns:a16="http://schemas.microsoft.com/office/drawing/2014/main" id="{261A3FD5-3B25-47E3-BC51-EA39F999DD69}"/>
              </a:ext>
            </a:extLst>
          </xdr:cNvPr>
          <xdr:cNvSpPr/>
        </xdr:nvSpPr>
        <xdr:spPr>
          <a:xfrm>
            <a:off x="5800167" y="887464"/>
            <a:ext cx="1394910" cy="76674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048273C-8E48-47A1-A513-C99A08BE28B4}"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100.0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sp macro="" textlink="">
        <xdr:nvSpPr>
          <xdr:cNvPr id="48" name="TextBox 47">
            <a:extLst>
              <a:ext uri="{FF2B5EF4-FFF2-40B4-BE49-F238E27FC236}">
                <a16:creationId xmlns:a16="http://schemas.microsoft.com/office/drawing/2014/main" id="{00E0DCE3-040C-49CD-AB68-64A0BA4FE351}"/>
              </a:ext>
            </a:extLst>
          </xdr:cNvPr>
          <xdr:cNvSpPr txBox="1"/>
        </xdr:nvSpPr>
        <xdr:spPr>
          <a:xfrm>
            <a:off x="2682899" y="909356"/>
            <a:ext cx="1496859" cy="279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sp macro="" textlink="">
        <xdr:nvSpPr>
          <xdr:cNvPr id="49" name="TextBox 48">
            <a:extLst>
              <a:ext uri="{FF2B5EF4-FFF2-40B4-BE49-F238E27FC236}">
                <a16:creationId xmlns:a16="http://schemas.microsoft.com/office/drawing/2014/main" id="{5875E9DD-E3A5-4EFF-A13C-BD28255E9EF3}"/>
              </a:ext>
            </a:extLst>
          </xdr:cNvPr>
          <xdr:cNvSpPr txBox="1"/>
        </xdr:nvSpPr>
        <xdr:spPr>
          <a:xfrm>
            <a:off x="4279658" y="919310"/>
            <a:ext cx="1496859" cy="279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sp macro="" textlink="">
        <xdr:nvSpPr>
          <xdr:cNvPr id="50" name="TextBox 49">
            <a:extLst>
              <a:ext uri="{FF2B5EF4-FFF2-40B4-BE49-F238E27FC236}">
                <a16:creationId xmlns:a16="http://schemas.microsoft.com/office/drawing/2014/main" id="{3EDC4287-AEE1-49AD-B14D-A30182DA6C9A}"/>
              </a:ext>
            </a:extLst>
          </xdr:cNvPr>
          <xdr:cNvSpPr txBox="1"/>
        </xdr:nvSpPr>
        <xdr:spPr>
          <a:xfrm>
            <a:off x="5824236" y="935597"/>
            <a:ext cx="1493314" cy="274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sp macro="" textlink="">
        <xdr:nvSpPr>
          <xdr:cNvPr id="51" name="TextBox 50">
            <a:extLst>
              <a:ext uri="{FF2B5EF4-FFF2-40B4-BE49-F238E27FC236}">
                <a16:creationId xmlns:a16="http://schemas.microsoft.com/office/drawing/2014/main" id="{001E2BF4-3F3B-45BD-BD74-2AD5261A1346}"/>
              </a:ext>
            </a:extLst>
          </xdr:cNvPr>
          <xdr:cNvSpPr txBox="1"/>
        </xdr:nvSpPr>
        <xdr:spPr>
          <a:xfrm>
            <a:off x="7433849" y="938596"/>
            <a:ext cx="1496858" cy="274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sp macro="" textlink="">
        <xdr:nvSpPr>
          <xdr:cNvPr id="75" name="TextBox 74">
            <a:extLst>
              <a:ext uri="{FF2B5EF4-FFF2-40B4-BE49-F238E27FC236}">
                <a16:creationId xmlns:a16="http://schemas.microsoft.com/office/drawing/2014/main" id="{8E880D70-8108-46CA-8E95-4778DC252A69}"/>
              </a:ext>
            </a:extLst>
          </xdr:cNvPr>
          <xdr:cNvSpPr txBox="1"/>
        </xdr:nvSpPr>
        <xdr:spPr>
          <a:xfrm>
            <a:off x="8958374" y="932926"/>
            <a:ext cx="1493392" cy="27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grpSp>
    <xdr:clientData/>
  </xdr:twoCellAnchor>
  <xdr:twoCellAnchor>
    <xdr:from>
      <xdr:col>14</xdr:col>
      <xdr:colOff>38746</xdr:colOff>
      <xdr:row>9</xdr:row>
      <xdr:rowOff>90407</xdr:rowOff>
    </xdr:from>
    <xdr:to>
      <xdr:col>16</xdr:col>
      <xdr:colOff>523912</xdr:colOff>
      <xdr:row>19</xdr:row>
      <xdr:rowOff>53471</xdr:rowOff>
    </xdr:to>
    <xdr:grpSp>
      <xdr:nvGrpSpPr>
        <xdr:cNvPr id="76" name="Group 75">
          <a:extLst>
            <a:ext uri="{FF2B5EF4-FFF2-40B4-BE49-F238E27FC236}">
              <a16:creationId xmlns:a16="http://schemas.microsoft.com/office/drawing/2014/main" id="{D83217F0-62AA-4F7D-8F48-148FED4A4F8E}"/>
            </a:ext>
          </a:extLst>
        </xdr:cNvPr>
        <xdr:cNvGrpSpPr/>
      </xdr:nvGrpSpPr>
      <xdr:grpSpPr>
        <a:xfrm>
          <a:off x="8628564" y="1693576"/>
          <a:ext cx="1712283" cy="1744363"/>
          <a:chOff x="11608740" y="2593623"/>
          <a:chExt cx="1699200" cy="1771200"/>
        </a:xfrm>
      </xdr:grpSpPr>
      <xdr:graphicFrame macro="">
        <xdr:nvGraphicFramePr>
          <xdr:cNvPr id="77" name="Chart 76">
            <a:extLst>
              <a:ext uri="{FF2B5EF4-FFF2-40B4-BE49-F238E27FC236}">
                <a16:creationId xmlns:a16="http://schemas.microsoft.com/office/drawing/2014/main" id="{8A144114-861F-EB9F-2AF2-D263D32291FD}"/>
              </a:ext>
            </a:extLst>
          </xdr:cNvPr>
          <xdr:cNvGraphicFramePr/>
        </xdr:nvGraphicFramePr>
        <xdr:xfrm>
          <a:off x="11608740" y="2593623"/>
          <a:ext cx="1699200" cy="1771200"/>
        </xdr:xfrm>
        <a:graphic>
          <a:graphicData uri="http://schemas.openxmlformats.org/drawingml/2006/chart">
            <c:chart xmlns:c="http://schemas.openxmlformats.org/drawingml/2006/chart" xmlns:r="http://schemas.openxmlformats.org/officeDocument/2006/relationships" r:id="rId11"/>
          </a:graphicData>
        </a:graphic>
      </xdr:graphicFrame>
      <xdr:sp macro="" textlink="DPCni!$M$25">
        <xdr:nvSpPr>
          <xdr:cNvPr id="78" name="TextBox 77">
            <a:extLst>
              <a:ext uri="{FF2B5EF4-FFF2-40B4-BE49-F238E27FC236}">
                <a16:creationId xmlns:a16="http://schemas.microsoft.com/office/drawing/2014/main" id="{D800A2CE-98E7-CDF6-26D2-8FBDF8575D77}"/>
              </a:ext>
            </a:extLst>
          </xdr:cNvPr>
          <xdr:cNvSpPr txBox="1"/>
        </xdr:nvSpPr>
        <xdr:spPr>
          <a:xfrm>
            <a:off x="12060296" y="3414888"/>
            <a:ext cx="827852" cy="319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6D23D8-D557-4A65-81D8-BF16197EF416}"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17:41:31</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editAs="oneCell">
    <xdr:from>
      <xdr:col>14</xdr:col>
      <xdr:colOff>384166</xdr:colOff>
      <xdr:row>0</xdr:row>
      <xdr:rowOff>0</xdr:rowOff>
    </xdr:from>
    <xdr:to>
      <xdr:col>15</xdr:col>
      <xdr:colOff>505305</xdr:colOff>
      <xdr:row>4</xdr:row>
      <xdr:rowOff>851</xdr:rowOff>
    </xdr:to>
    <xdr:pic macro="[0]!Refresh_Dashboard">
      <xdr:nvPicPr>
        <xdr:cNvPr id="80" name="Graphic 79" descr="Arrow circle with solid fill">
          <a:extLst>
            <a:ext uri="{FF2B5EF4-FFF2-40B4-BE49-F238E27FC236}">
              <a16:creationId xmlns:a16="http://schemas.microsoft.com/office/drawing/2014/main" id="{F8C9E315-3270-45BF-9398-78C5CE96DAE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960401" y="0"/>
          <a:ext cx="733728" cy="718027"/>
        </a:xfrm>
        <a:prstGeom prst="rect">
          <a:avLst/>
        </a:prstGeom>
      </xdr:spPr>
    </xdr:pic>
    <xdr:clientData/>
  </xdr:twoCellAnchor>
  <xdr:twoCellAnchor>
    <xdr:from>
      <xdr:col>4</xdr:col>
      <xdr:colOff>136759</xdr:colOff>
      <xdr:row>30</xdr:row>
      <xdr:rowOff>150394</xdr:rowOff>
    </xdr:from>
    <xdr:to>
      <xdr:col>17</xdr:col>
      <xdr:colOff>551448</xdr:colOff>
      <xdr:row>46</xdr:row>
      <xdr:rowOff>7697</xdr:rowOff>
    </xdr:to>
    <xdr:grpSp>
      <xdr:nvGrpSpPr>
        <xdr:cNvPr id="87" name="Group 86">
          <a:extLst>
            <a:ext uri="{FF2B5EF4-FFF2-40B4-BE49-F238E27FC236}">
              <a16:creationId xmlns:a16="http://schemas.microsoft.com/office/drawing/2014/main" id="{83C99896-53E7-776F-5893-D35DAA647C70}"/>
            </a:ext>
          </a:extLst>
        </xdr:cNvPr>
        <xdr:cNvGrpSpPr/>
      </xdr:nvGrpSpPr>
      <xdr:grpSpPr>
        <a:xfrm>
          <a:off x="2590993" y="5494290"/>
          <a:ext cx="8390949" cy="2707381"/>
          <a:chOff x="2575159" y="5484394"/>
          <a:chExt cx="8339489" cy="2702103"/>
        </a:xfrm>
      </xdr:grpSpPr>
      <xdr:grpSp>
        <xdr:nvGrpSpPr>
          <xdr:cNvPr id="83" name="Group 82">
            <a:extLst>
              <a:ext uri="{FF2B5EF4-FFF2-40B4-BE49-F238E27FC236}">
                <a16:creationId xmlns:a16="http://schemas.microsoft.com/office/drawing/2014/main" id="{E4DD45F0-496A-43BF-124A-F7E800862D18}"/>
              </a:ext>
            </a:extLst>
          </xdr:cNvPr>
          <xdr:cNvGrpSpPr/>
        </xdr:nvGrpSpPr>
        <xdr:grpSpPr>
          <a:xfrm>
            <a:off x="2575159" y="5484394"/>
            <a:ext cx="8339489" cy="2702103"/>
            <a:chOff x="2569001" y="5692212"/>
            <a:chExt cx="8319477" cy="2732424"/>
          </a:xfrm>
        </xdr:grpSpPr>
        <xdr:grpSp>
          <xdr:nvGrpSpPr>
            <xdr:cNvPr id="37" name="Group 36">
              <a:extLst>
                <a:ext uri="{FF2B5EF4-FFF2-40B4-BE49-F238E27FC236}">
                  <a16:creationId xmlns:a16="http://schemas.microsoft.com/office/drawing/2014/main" id="{361D1B20-2970-474C-8AE1-86C0C4E30CB1}"/>
                </a:ext>
              </a:extLst>
            </xdr:cNvPr>
            <xdr:cNvGrpSpPr/>
          </xdr:nvGrpSpPr>
          <xdr:grpSpPr>
            <a:xfrm>
              <a:off x="2569001" y="5692212"/>
              <a:ext cx="3846484" cy="2690700"/>
              <a:chOff x="2583180" y="5564605"/>
              <a:chExt cx="3867752" cy="2626896"/>
            </a:xfrm>
          </xdr:grpSpPr>
          <xdr:sp macro="" textlink="">
            <xdr:nvSpPr>
              <xdr:cNvPr id="38" name="Rectangle: Rounded Corners 37">
                <a:extLst>
                  <a:ext uri="{FF2B5EF4-FFF2-40B4-BE49-F238E27FC236}">
                    <a16:creationId xmlns:a16="http://schemas.microsoft.com/office/drawing/2014/main" id="{EEAD4406-A7EC-BDE8-F3A7-B5B44B7DF35F}"/>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tsle="http://schemas.microsoft.com/office/drawing/2012/timeslicer">
            <mc:Choice Requires="tsle">
              <xdr:graphicFrame macro="">
                <xdr:nvGraphicFramePr>
                  <xdr:cNvPr id="39" name="Date 2">
                    <a:extLst>
                      <a:ext uri="{FF2B5EF4-FFF2-40B4-BE49-F238E27FC236}">
                        <a16:creationId xmlns:a16="http://schemas.microsoft.com/office/drawing/2014/main" id="{00AC108C-3185-646F-52B9-19D8ADD8B683}"/>
                      </a:ext>
                    </a:extLst>
                  </xdr:cNvPr>
                  <xdr:cNvGraphicFramePr/>
                </xdr:nvGraphicFramePr>
                <xdr:xfrm>
                  <a:off x="2687054" y="5564605"/>
                  <a:ext cx="3559342" cy="842211"/>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2695183" y="5494290"/>
                    <a:ext cx="3570180" cy="85476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40" name="Date 3">
                    <a:extLst>
                      <a:ext uri="{FF2B5EF4-FFF2-40B4-BE49-F238E27FC236}">
                        <a16:creationId xmlns:a16="http://schemas.microsoft.com/office/drawing/2014/main" id="{2CB94030-9A5A-241E-E47E-AABDA73D1DFA}"/>
                      </a:ext>
                    </a:extLst>
                  </xdr:cNvPr>
                  <xdr:cNvGraphicFramePr/>
                </xdr:nvGraphicFramePr>
                <xdr:xfrm>
                  <a:off x="2677028" y="6414321"/>
                  <a:ext cx="3589420" cy="1676916"/>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2685127" y="6356667"/>
                    <a:ext cx="3600350" cy="17019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4" name="Group 73">
              <a:extLst>
                <a:ext uri="{FF2B5EF4-FFF2-40B4-BE49-F238E27FC236}">
                  <a16:creationId xmlns:a16="http://schemas.microsoft.com/office/drawing/2014/main" id="{B36951B9-0C59-56B4-686F-162200B034CC}"/>
                </a:ext>
              </a:extLst>
            </xdr:cNvPr>
            <xdr:cNvGrpSpPr/>
          </xdr:nvGrpSpPr>
          <xdr:grpSpPr>
            <a:xfrm>
              <a:off x="6561869" y="5743791"/>
              <a:ext cx="4326609" cy="2680845"/>
              <a:chOff x="6597316" y="5611930"/>
              <a:chExt cx="4351421" cy="2621295"/>
            </a:xfrm>
          </xdr:grpSpPr>
          <xdr:sp macro="" textlink="">
            <xdr:nvSpPr>
              <xdr:cNvPr id="35" name="Rectangle: Rounded Corners 34">
                <a:extLst>
                  <a:ext uri="{FF2B5EF4-FFF2-40B4-BE49-F238E27FC236}">
                    <a16:creationId xmlns:a16="http://schemas.microsoft.com/office/drawing/2014/main" id="{0AF83268-0BB0-7C9A-B771-B6264177AB6A}"/>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 name="Chart 65">
                <a:extLst>
                  <a:ext uri="{FF2B5EF4-FFF2-40B4-BE49-F238E27FC236}">
                    <a16:creationId xmlns:a16="http://schemas.microsoft.com/office/drawing/2014/main" id="{324B10EB-3758-435D-AC87-9A46CF9A7E8D}"/>
                  </a:ext>
                </a:extLst>
              </xdr:cNvPr>
              <xdr:cNvGraphicFramePr>
                <a:graphicFrameLocks/>
              </xdr:cNvGraphicFramePr>
            </xdr:nvGraphicFramePr>
            <xdr:xfrm>
              <a:off x="6607343" y="5684922"/>
              <a:ext cx="4341394" cy="2548303"/>
            </xdr:xfrm>
            <a:graphic>
              <a:graphicData uri="http://schemas.openxmlformats.org/drawingml/2006/chart">
                <c:chart xmlns:c="http://schemas.openxmlformats.org/drawingml/2006/chart" xmlns:r="http://schemas.openxmlformats.org/officeDocument/2006/relationships" r:id="rId14"/>
              </a:graphicData>
            </a:graphic>
          </xdr:graphicFrame>
        </xdr:grpSp>
      </xdr:grpSp>
      <xdr:sp macro="" textlink="">
        <xdr:nvSpPr>
          <xdr:cNvPr id="86" name="TextBox 85">
            <a:extLst>
              <a:ext uri="{FF2B5EF4-FFF2-40B4-BE49-F238E27FC236}">
                <a16:creationId xmlns:a16="http://schemas.microsoft.com/office/drawing/2014/main" id="{E2F8DE24-6594-4EB3-AB82-4FD07FA87E03}"/>
              </a:ext>
            </a:extLst>
          </xdr:cNvPr>
          <xdr:cNvSpPr txBox="1"/>
        </xdr:nvSpPr>
        <xdr:spPr>
          <a:xfrm>
            <a:off x="3693860" y="5564711"/>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391636</xdr:colOff>
      <xdr:row>0</xdr:row>
      <xdr:rowOff>0</xdr:rowOff>
    </xdr:from>
    <xdr:to>
      <xdr:col>16</xdr:col>
      <xdr:colOff>539909</xdr:colOff>
      <xdr:row>4</xdr:row>
      <xdr:rowOff>22412</xdr:rowOff>
    </xdr:to>
    <xdr:pic>
      <xdr:nvPicPr>
        <xdr:cNvPr id="88" name="Picture 87">
          <a:extLst>
            <a:ext uri="{FF2B5EF4-FFF2-40B4-BE49-F238E27FC236}">
              <a16:creationId xmlns:a16="http://schemas.microsoft.com/office/drawing/2014/main" id="{76259098-A02F-4DF9-9AD9-B342BF3C48D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80460" y="0"/>
          <a:ext cx="760861" cy="739588"/>
        </a:xfrm>
        <a:prstGeom prst="rect">
          <a:avLst/>
        </a:prstGeom>
      </xdr:spPr>
    </xdr:pic>
    <xdr:clientData/>
  </xdr:twoCellAnchor>
  <xdr:twoCellAnchor editAs="oneCell">
    <xdr:from>
      <xdr:col>4</xdr:col>
      <xdr:colOff>266856</xdr:colOff>
      <xdr:row>4</xdr:row>
      <xdr:rowOff>83434</xdr:rowOff>
    </xdr:from>
    <xdr:to>
      <xdr:col>4</xdr:col>
      <xdr:colOff>540738</xdr:colOff>
      <xdr:row>8</xdr:row>
      <xdr:rowOff>128257</xdr:rowOff>
    </xdr:to>
    <xdr:pic>
      <xdr:nvPicPr>
        <xdr:cNvPr id="89" name="Picture 88">
          <a:extLst>
            <a:ext uri="{FF2B5EF4-FFF2-40B4-BE49-F238E27FC236}">
              <a16:creationId xmlns:a16="http://schemas.microsoft.com/office/drawing/2014/main" id="{00D2BF79-3527-469F-82A7-37D5E6335DCF}"/>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717209" y="800610"/>
          <a:ext cx="273882" cy="762000"/>
        </a:xfrm>
        <a:prstGeom prst="rect">
          <a:avLst/>
        </a:prstGeom>
      </xdr:spPr>
    </xdr:pic>
    <xdr:clientData/>
  </xdr:twoCellAnchor>
  <xdr:twoCellAnchor editAs="oneCell">
    <xdr:from>
      <xdr:col>6</xdr:col>
      <xdr:colOff>603033</xdr:colOff>
      <xdr:row>4</xdr:row>
      <xdr:rowOff>120787</xdr:rowOff>
    </xdr:from>
    <xdr:to>
      <xdr:col>7</xdr:col>
      <xdr:colOff>333342</xdr:colOff>
      <xdr:row>8</xdr:row>
      <xdr:rowOff>139112</xdr:rowOff>
    </xdr:to>
    <xdr:pic>
      <xdr:nvPicPr>
        <xdr:cNvPr id="90" name="Picture 89">
          <a:extLst>
            <a:ext uri="{FF2B5EF4-FFF2-40B4-BE49-F238E27FC236}">
              <a16:creationId xmlns:a16="http://schemas.microsoft.com/office/drawing/2014/main" id="{7D3931C5-448A-42B0-8883-0729F579391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78562" y="837963"/>
          <a:ext cx="342898" cy="735502"/>
        </a:xfrm>
        <a:prstGeom prst="rect">
          <a:avLst/>
        </a:prstGeom>
      </xdr:spPr>
    </xdr:pic>
    <xdr:clientData/>
  </xdr:twoCellAnchor>
  <xdr:twoCellAnchor editAs="oneCell">
    <xdr:from>
      <xdr:col>12</xdr:col>
      <xdr:colOff>124914</xdr:colOff>
      <xdr:row>5</xdr:row>
      <xdr:rowOff>119530</xdr:rowOff>
    </xdr:from>
    <xdr:to>
      <xdr:col>12</xdr:col>
      <xdr:colOff>425823</xdr:colOff>
      <xdr:row>8</xdr:row>
      <xdr:rowOff>41142</xdr:rowOff>
    </xdr:to>
    <xdr:pic>
      <xdr:nvPicPr>
        <xdr:cNvPr id="91" name="Picture 90">
          <a:extLst>
            <a:ext uri="{FF2B5EF4-FFF2-40B4-BE49-F238E27FC236}">
              <a16:creationId xmlns:a16="http://schemas.microsoft.com/office/drawing/2014/main" id="{5C0D76C9-175B-42AF-BC88-6BF9660B41C8}"/>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75973" y="1016001"/>
          <a:ext cx="300909" cy="459494"/>
        </a:xfrm>
        <a:prstGeom prst="rect">
          <a:avLst/>
        </a:prstGeom>
      </xdr:spPr>
    </xdr:pic>
    <xdr:clientData/>
  </xdr:twoCellAnchor>
  <xdr:twoCellAnchor editAs="oneCell">
    <xdr:from>
      <xdr:col>9</xdr:col>
      <xdr:colOff>334092</xdr:colOff>
      <xdr:row>5</xdr:row>
      <xdr:rowOff>120786</xdr:rowOff>
    </xdr:from>
    <xdr:to>
      <xdr:col>10</xdr:col>
      <xdr:colOff>74706</xdr:colOff>
      <xdr:row>8</xdr:row>
      <xdr:rowOff>116304</xdr:rowOff>
    </xdr:to>
    <xdr:pic>
      <xdr:nvPicPr>
        <xdr:cNvPr id="92" name="Picture 91">
          <a:extLst>
            <a:ext uri="{FF2B5EF4-FFF2-40B4-BE49-F238E27FC236}">
              <a16:creationId xmlns:a16="http://schemas.microsoft.com/office/drawing/2014/main" id="{88EAF920-EBAA-4AA2-9A35-0B9AFDE5D6C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47386" y="1017257"/>
          <a:ext cx="353202" cy="533400"/>
        </a:xfrm>
        <a:prstGeom prst="rect">
          <a:avLst/>
        </a:prstGeom>
      </xdr:spPr>
    </xdr:pic>
    <xdr:clientData/>
  </xdr:twoCellAnchor>
  <xdr:twoCellAnchor editAs="oneCell">
    <xdr:from>
      <xdr:col>14</xdr:col>
      <xdr:colOff>483503</xdr:colOff>
      <xdr:row>5</xdr:row>
      <xdr:rowOff>173080</xdr:rowOff>
    </xdr:from>
    <xdr:to>
      <xdr:col>15</xdr:col>
      <xdr:colOff>158943</xdr:colOff>
      <xdr:row>8</xdr:row>
      <xdr:rowOff>62580</xdr:rowOff>
    </xdr:to>
    <xdr:pic>
      <xdr:nvPicPr>
        <xdr:cNvPr id="93" name="Picture 92" descr="Cloud Generic color fill icon">
          <a:extLst>
            <a:ext uri="{FF2B5EF4-FFF2-40B4-BE49-F238E27FC236}">
              <a16:creationId xmlns:a16="http://schemas.microsoft.com/office/drawing/2014/main" id="{2AFA8EA6-5D1D-4889-99FC-6E0C35179D58}"/>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59738" y="1069551"/>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393598</xdr:colOff>
      <xdr:row>10</xdr:row>
      <xdr:rowOff>55439</xdr:rowOff>
    </xdr:from>
    <xdr:to>
      <xdr:col>8</xdr:col>
      <xdr:colOff>141076</xdr:colOff>
      <xdr:row>12</xdr:row>
      <xdr:rowOff>68686</xdr:rowOff>
    </xdr:to>
    <xdr:pic>
      <xdr:nvPicPr>
        <xdr:cNvPr id="94" name="Picture 93" descr="UV radiation icon solar ultraviolet light symbol for graphic design ...">
          <a:extLst>
            <a:ext uri="{FF2B5EF4-FFF2-40B4-BE49-F238E27FC236}">
              <a16:creationId xmlns:a16="http://schemas.microsoft.com/office/drawing/2014/main" id="{DDA9D94B-6D62-46B6-9446-9B71AFA68292}"/>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681716" y="1848380"/>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246529</xdr:colOff>
      <xdr:row>10</xdr:row>
      <xdr:rowOff>37354</xdr:rowOff>
    </xdr:from>
    <xdr:to>
      <xdr:col>5</xdr:col>
      <xdr:colOff>0</xdr:colOff>
      <xdr:row>12</xdr:row>
      <xdr:rowOff>14942</xdr:rowOff>
    </xdr:to>
    <xdr:pic>
      <xdr:nvPicPr>
        <xdr:cNvPr id="95" name="Picture 94">
          <a:extLst>
            <a:ext uri="{FF2B5EF4-FFF2-40B4-BE49-F238E27FC236}">
              <a16:creationId xmlns:a16="http://schemas.microsoft.com/office/drawing/2014/main" id="{30C6B6A5-4C6A-497E-BCFB-2141DEAD916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696882" y="1830295"/>
          <a:ext cx="366059" cy="336176"/>
        </a:xfrm>
        <a:prstGeom prst="rect">
          <a:avLst/>
        </a:prstGeom>
      </xdr:spPr>
    </xdr:pic>
    <xdr:clientData/>
  </xdr:twoCellAnchor>
  <xdr:twoCellAnchor editAs="oneCell">
    <xdr:from>
      <xdr:col>10</xdr:col>
      <xdr:colOff>490569</xdr:colOff>
      <xdr:row>10</xdr:row>
      <xdr:rowOff>68506</xdr:rowOff>
    </xdr:from>
    <xdr:to>
      <xdr:col>11</xdr:col>
      <xdr:colOff>419684</xdr:colOff>
      <xdr:row>12</xdr:row>
      <xdr:rowOff>78675</xdr:rowOff>
    </xdr:to>
    <xdr:pic>
      <xdr:nvPicPr>
        <xdr:cNvPr id="96" name="Picture 95" descr="Sun rise logo Royalty Free Vector Image - VectorStock">
          <a:extLst>
            <a:ext uri="{FF2B5EF4-FFF2-40B4-BE49-F238E27FC236}">
              <a16:creationId xmlns:a16="http://schemas.microsoft.com/office/drawing/2014/main" id="{DBE74DCA-C21B-444E-8CF3-44CAE6503F91}"/>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616451" y="1861447"/>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609460</xdr:colOff>
      <xdr:row>10</xdr:row>
      <xdr:rowOff>24748</xdr:rowOff>
    </xdr:from>
    <xdr:to>
      <xdr:col>14</xdr:col>
      <xdr:colOff>443562</xdr:colOff>
      <xdr:row>12</xdr:row>
      <xdr:rowOff>34022</xdr:rowOff>
    </xdr:to>
    <xdr:pic>
      <xdr:nvPicPr>
        <xdr:cNvPr id="97" name="Picture 96" descr="Sun Vector illustration Icon 9967049 Vector Art at Vecteezy">
          <a:extLst>
            <a:ext uri="{FF2B5EF4-FFF2-40B4-BE49-F238E27FC236}">
              <a16:creationId xmlns:a16="http://schemas.microsoft.com/office/drawing/2014/main" id="{050187AB-BF29-46EE-B289-CF0410DCB8F3}"/>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573107" y="1817689"/>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EAD70668-804A-4B77-9902-48FF6F6C6E5A}"/>
            </a:ext>
          </a:extLst>
        </xdr:cNvPr>
        <xdr:cNvSpPr/>
      </xdr:nvSpPr>
      <xdr:spPr>
        <a:xfrm>
          <a:off x="2458419" y="0"/>
          <a:ext cx="8268096" cy="8649423"/>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xdr:col>
      <xdr:colOff>563880</xdr:colOff>
      <xdr:row>46</xdr:row>
      <xdr:rowOff>22860</xdr:rowOff>
    </xdr:to>
    <xdr:grpSp>
      <xdr:nvGrpSpPr>
        <xdr:cNvPr id="3" name="Group 2">
          <a:extLst>
            <a:ext uri="{FF2B5EF4-FFF2-40B4-BE49-F238E27FC236}">
              <a16:creationId xmlns:a16="http://schemas.microsoft.com/office/drawing/2014/main" id="{5992ECE5-B9E2-4666-A8BC-B07B0CA0070A}"/>
            </a:ext>
          </a:extLst>
        </xdr:cNvPr>
        <xdr:cNvGrpSpPr/>
      </xdr:nvGrpSpPr>
      <xdr:grpSpPr>
        <a:xfrm>
          <a:off x="0" y="0"/>
          <a:ext cx="2404555" cy="8216834"/>
          <a:chOff x="0" y="0"/>
          <a:chExt cx="2392680" cy="6393180"/>
        </a:xfrm>
      </xdr:grpSpPr>
      <xdr:sp macro="" textlink="">
        <xdr:nvSpPr>
          <xdr:cNvPr id="4" name="Rectangle: Rounded Corners 3">
            <a:extLst>
              <a:ext uri="{FF2B5EF4-FFF2-40B4-BE49-F238E27FC236}">
                <a16:creationId xmlns:a16="http://schemas.microsoft.com/office/drawing/2014/main" id="{A0FCD0DE-907D-19CB-523B-9BFD3A1DD4F3}"/>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F4DE0577-6DC7-267A-2B3D-85F5AB9EDCBD}"/>
              </a:ext>
            </a:extLst>
          </xdr:cNvPr>
          <xdr:cNvSpPr/>
        </xdr:nvSpPr>
        <xdr:spPr>
          <a:xfrm>
            <a:off x="0" y="0"/>
            <a:ext cx="2194560" cy="6385560"/>
          </a:xfrm>
          <a:prstGeom prst="roundRect">
            <a:avLst>
              <a:gd name="adj" fmla="val 0"/>
            </a:avLst>
          </a:prstGeom>
          <a:gradFill flip="none" rotWithShape="1">
            <a:gsLst>
              <a:gs pos="0">
                <a:srgbClr val="5A7A94">
                  <a:shade val="30000"/>
                  <a:satMod val="115000"/>
                </a:srgbClr>
              </a:gs>
              <a:gs pos="49000">
                <a:srgbClr val="4F6D7A"/>
              </a:gs>
              <a:gs pos="100000">
                <a:srgbClr val="6A89A0"/>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38100</xdr:rowOff>
    </xdr:from>
    <xdr:to>
      <xdr:col>16</xdr:col>
      <xdr:colOff>606751</xdr:colOff>
      <xdr:row>3</xdr:row>
      <xdr:rowOff>160421</xdr:rowOff>
    </xdr:to>
    <xdr:sp macro="" textlink="">
      <xdr:nvSpPr>
        <xdr:cNvPr id="6" name="Rectangle: Rounded Corners 5">
          <a:extLst>
            <a:ext uri="{FF2B5EF4-FFF2-40B4-BE49-F238E27FC236}">
              <a16:creationId xmlns:a16="http://schemas.microsoft.com/office/drawing/2014/main" id="{8B44B130-506E-4540-BD48-BA26F89F6F2F}"/>
            </a:ext>
          </a:extLst>
        </xdr:cNvPr>
        <xdr:cNvSpPr/>
      </xdr:nvSpPr>
      <xdr:spPr>
        <a:xfrm>
          <a:off x="2567940" y="38100"/>
          <a:ext cx="7792411" cy="67096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PCbe!$B$25">
      <xdr:nvSpPr>
        <xdr:cNvPr id="7" name="Rectangle: Rounded Corners 6">
          <a:extLst>
            <a:ext uri="{FF2B5EF4-FFF2-40B4-BE49-F238E27FC236}">
              <a16:creationId xmlns:a16="http://schemas.microsoft.com/office/drawing/2014/main" id="{9009AF47-959F-4D16-8AA2-18057E3EA1B2}"/>
            </a:ext>
          </a:extLst>
        </xdr:cNvPr>
        <xdr:cNvSpPr/>
      </xdr:nvSpPr>
      <xdr:spPr>
        <a:xfrm>
          <a:off x="7403721" y="886848"/>
          <a:ext cx="1397987"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8B82B00-1EE8-4D1B-AD65-3CA5F8246078}"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18.4</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PCbe!$C$4">
      <xdr:nvSpPr>
        <xdr:cNvPr id="8" name="Rectangle: Rounded Corners 7">
          <a:extLst>
            <a:ext uri="{FF2B5EF4-FFF2-40B4-BE49-F238E27FC236}">
              <a16:creationId xmlns:a16="http://schemas.microsoft.com/office/drawing/2014/main" id="{B2133B92-D006-4751-B57D-8EA42BAE01FE}"/>
            </a:ext>
          </a:extLst>
        </xdr:cNvPr>
        <xdr:cNvSpPr/>
      </xdr:nvSpPr>
      <xdr:spPr>
        <a:xfrm>
          <a:off x="4222255" y="861790"/>
          <a:ext cx="1398050"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12ED233-A157-4908-8841-98626D8B0C6C}"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33.0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PCbe!$B$4">
      <xdr:nvSpPr>
        <xdr:cNvPr id="9" name="Rectangle: Rounded Corners 8">
          <a:extLst>
            <a:ext uri="{FF2B5EF4-FFF2-40B4-BE49-F238E27FC236}">
              <a16:creationId xmlns:a16="http://schemas.microsoft.com/office/drawing/2014/main" id="{170EDBD7-C4E6-4FE6-A081-3B70EEB0D37F}"/>
            </a:ext>
          </a:extLst>
        </xdr:cNvPr>
        <xdr:cNvSpPr/>
      </xdr:nvSpPr>
      <xdr:spPr>
        <a:xfrm>
          <a:off x="2630550" y="852308"/>
          <a:ext cx="1397988"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A4A1DA1-DE2A-46C3-BD33-B8475EB5D050}"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algn="ctr"/>
            <a:t>22.0</a:t>
          </a:fld>
          <a:endParaRPr lang="en-IN" sz="8000" b="1">
            <a:solidFill>
              <a:srgbClr val="0078D4"/>
            </a:solidFill>
            <a:latin typeface="Source Sans Pro" panose="020B0503030403020204" pitchFamily="34" charset="0"/>
            <a:ea typeface="Source Sans Pro" panose="020B0503030403020204" pitchFamily="34" charset="0"/>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PCbe!$P$4">
      <xdr:nvSpPr>
        <xdr:cNvPr id="10" name="Rectangle: Rounded Corners 9">
          <a:extLst>
            <a:ext uri="{FF2B5EF4-FFF2-40B4-BE49-F238E27FC236}">
              <a16:creationId xmlns:a16="http://schemas.microsoft.com/office/drawing/2014/main" id="{8C96B50D-5AE9-432D-BC14-464201AB4BEE}"/>
            </a:ext>
          </a:extLst>
        </xdr:cNvPr>
        <xdr:cNvSpPr/>
      </xdr:nvSpPr>
      <xdr:spPr>
        <a:xfrm>
          <a:off x="8995424" y="887527"/>
          <a:ext cx="1398051"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B0609D08-F034-4AB7-854D-E99C4264ECC6}"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47.7</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PCbe!$M$4">
      <xdr:nvSpPr>
        <xdr:cNvPr id="11" name="Rectangle: Rounded Corners 10">
          <a:extLst>
            <a:ext uri="{FF2B5EF4-FFF2-40B4-BE49-F238E27FC236}">
              <a16:creationId xmlns:a16="http://schemas.microsoft.com/office/drawing/2014/main" id="{DD08834F-ABE1-46F3-B66D-6BDCBEB738AE}"/>
            </a:ext>
          </a:extLst>
        </xdr:cNvPr>
        <xdr:cNvSpPr/>
      </xdr:nvSpPr>
      <xdr:spPr>
        <a:xfrm>
          <a:off x="5814022" y="880075"/>
          <a:ext cx="1397988" cy="75935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2BDA5FD-AE08-48DD-9231-11AEBA47585A}"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100.0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121920</xdr:colOff>
      <xdr:row>9</xdr:row>
      <xdr:rowOff>167640</xdr:rowOff>
    </xdr:from>
    <xdr:to>
      <xdr:col>7</xdr:col>
      <xdr:colOff>114300</xdr:colOff>
      <xdr:row>16</xdr:row>
      <xdr:rowOff>22860</xdr:rowOff>
    </xdr:to>
    <xdr:sp macro="" textlink="">
      <xdr:nvSpPr>
        <xdr:cNvPr id="12" name="Rectangle: Rounded Corners 11">
          <a:extLst>
            <a:ext uri="{FF2B5EF4-FFF2-40B4-BE49-F238E27FC236}">
              <a16:creationId xmlns:a16="http://schemas.microsoft.com/office/drawing/2014/main" id="{175206EB-12D2-446E-858F-199EA862EA9C}"/>
            </a:ext>
          </a:extLst>
        </xdr:cNvPr>
        <xdr:cNvSpPr/>
      </xdr:nvSpPr>
      <xdr:spPr>
        <a:xfrm>
          <a:off x="2560320" y="1813560"/>
          <a:ext cx="1821180" cy="11353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556260</xdr:colOff>
      <xdr:row>10</xdr:row>
      <xdr:rowOff>15240</xdr:rowOff>
    </xdr:from>
    <xdr:to>
      <xdr:col>17</xdr:col>
      <xdr:colOff>0</xdr:colOff>
      <xdr:row>15</xdr:row>
      <xdr:rowOff>167640</xdr:rowOff>
    </xdr:to>
    <xdr:sp macro="" textlink="">
      <xdr:nvSpPr>
        <xdr:cNvPr id="13" name="Rectangle: Rounded Corners 12">
          <a:extLst>
            <a:ext uri="{FF2B5EF4-FFF2-40B4-BE49-F238E27FC236}">
              <a16:creationId xmlns:a16="http://schemas.microsoft.com/office/drawing/2014/main" id="{E56C9D4F-C362-4918-8A6D-AC83F4C6B174}"/>
            </a:ext>
          </a:extLst>
        </xdr:cNvPr>
        <xdr:cNvSpPr/>
      </xdr:nvSpPr>
      <xdr:spPr>
        <a:xfrm>
          <a:off x="8481060" y="1844040"/>
          <a:ext cx="188214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386080</xdr:colOff>
      <xdr:row>10</xdr:row>
      <xdr:rowOff>15240</xdr:rowOff>
    </xdr:from>
    <xdr:to>
      <xdr:col>13</xdr:col>
      <xdr:colOff>424180</xdr:colOff>
      <xdr:row>15</xdr:row>
      <xdr:rowOff>167640</xdr:rowOff>
    </xdr:to>
    <xdr:sp macro="" textlink="">
      <xdr:nvSpPr>
        <xdr:cNvPr id="14" name="Rectangle: Rounded Corners 13">
          <a:extLst>
            <a:ext uri="{FF2B5EF4-FFF2-40B4-BE49-F238E27FC236}">
              <a16:creationId xmlns:a16="http://schemas.microsoft.com/office/drawing/2014/main" id="{6DCD43DF-642C-424D-9954-DFD9CF102C81}"/>
            </a:ext>
          </a:extLst>
        </xdr:cNvPr>
        <xdr:cNvSpPr/>
      </xdr:nvSpPr>
      <xdr:spPr>
        <a:xfrm>
          <a:off x="6482080" y="1844040"/>
          <a:ext cx="1866900" cy="106680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246380</xdr:colOff>
      <xdr:row>10</xdr:row>
      <xdr:rowOff>7620</xdr:rowOff>
    </xdr:from>
    <xdr:to>
      <xdr:col>10</xdr:col>
      <xdr:colOff>254000</xdr:colOff>
      <xdr:row>16</xdr:row>
      <xdr:rowOff>7620</xdr:rowOff>
    </xdr:to>
    <xdr:sp macro="" textlink="">
      <xdr:nvSpPr>
        <xdr:cNvPr id="15" name="Rectangle: Rounded Corners 14">
          <a:extLst>
            <a:ext uri="{FF2B5EF4-FFF2-40B4-BE49-F238E27FC236}">
              <a16:creationId xmlns:a16="http://schemas.microsoft.com/office/drawing/2014/main" id="{405BE201-FF69-474C-851C-5AEB8A014DB6}"/>
            </a:ext>
          </a:extLst>
        </xdr:cNvPr>
        <xdr:cNvSpPr/>
      </xdr:nvSpPr>
      <xdr:spPr>
        <a:xfrm>
          <a:off x="4513580" y="1836420"/>
          <a:ext cx="1836420" cy="1097280"/>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50131</xdr:colOff>
      <xdr:row>5</xdr:row>
      <xdr:rowOff>75116</xdr:rowOff>
    </xdr:from>
    <xdr:to>
      <xdr:col>3</xdr:col>
      <xdr:colOff>22058</xdr:colOff>
      <xdr:row>7</xdr:row>
      <xdr:rowOff>129258</xdr:rowOff>
    </xdr:to>
    <xdr:sp macro="" textlink="">
      <xdr:nvSpPr>
        <xdr:cNvPr id="41" name="TextBox 40">
          <a:hlinkClick xmlns:r="http://schemas.openxmlformats.org/officeDocument/2006/relationships" r:id="rId1"/>
          <a:extLst>
            <a:ext uri="{FF2B5EF4-FFF2-40B4-BE49-F238E27FC236}">
              <a16:creationId xmlns:a16="http://schemas.microsoft.com/office/drawing/2014/main" id="{49110E5D-CC11-461F-BA25-EE2EB28C174A}"/>
            </a:ext>
          </a:extLst>
        </xdr:cNvPr>
        <xdr:cNvSpPr txBox="1"/>
      </xdr:nvSpPr>
      <xdr:spPr>
        <a:xfrm>
          <a:off x="50131" y="1012001"/>
          <a:ext cx="1808222" cy="428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0</xdr:colOff>
      <xdr:row>11</xdr:row>
      <xdr:rowOff>40433</xdr:rowOff>
    </xdr:from>
    <xdr:to>
      <xdr:col>3</xdr:col>
      <xdr:colOff>90236</xdr:colOff>
      <xdr:row>13</xdr:row>
      <xdr:rowOff>117522</xdr:rowOff>
    </xdr:to>
    <xdr:sp macro="" textlink="">
      <xdr:nvSpPr>
        <xdr:cNvPr id="43" name="TextBox 42">
          <a:hlinkClick xmlns:r="http://schemas.openxmlformats.org/officeDocument/2006/relationships" r:id="rId2"/>
          <a:extLst>
            <a:ext uri="{FF2B5EF4-FFF2-40B4-BE49-F238E27FC236}">
              <a16:creationId xmlns:a16="http://schemas.microsoft.com/office/drawing/2014/main" id="{D682E4E0-F4EB-4724-AC75-0F44BEF61541}"/>
            </a:ext>
          </a:extLst>
        </xdr:cNvPr>
        <xdr:cNvSpPr txBox="1"/>
      </xdr:nvSpPr>
      <xdr:spPr>
        <a:xfrm>
          <a:off x="0" y="2101581"/>
          <a:ext cx="1926531" cy="451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13</xdr:row>
      <xdr:rowOff>143460</xdr:rowOff>
    </xdr:from>
    <xdr:to>
      <xdr:col>2</xdr:col>
      <xdr:colOff>421104</xdr:colOff>
      <xdr:row>16</xdr:row>
      <xdr:rowOff>133434</xdr:rowOff>
    </xdr:to>
    <xdr:sp macro="" textlink="">
      <xdr:nvSpPr>
        <xdr:cNvPr id="45" name="TextBox 44">
          <a:hlinkClick xmlns:r="http://schemas.openxmlformats.org/officeDocument/2006/relationships" r:id="rId3"/>
          <a:extLst>
            <a:ext uri="{FF2B5EF4-FFF2-40B4-BE49-F238E27FC236}">
              <a16:creationId xmlns:a16="http://schemas.microsoft.com/office/drawing/2014/main" id="{BA3D835C-6C43-4BF5-9477-ED7E95DDAC5D}"/>
            </a:ext>
          </a:extLst>
        </xdr:cNvPr>
        <xdr:cNvSpPr txBox="1"/>
      </xdr:nvSpPr>
      <xdr:spPr>
        <a:xfrm>
          <a:off x="0" y="2579362"/>
          <a:ext cx="1645301" cy="552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228139</xdr:colOff>
      <xdr:row>2</xdr:row>
      <xdr:rowOff>77748</xdr:rowOff>
    </xdr:from>
    <xdr:to>
      <xdr:col>3</xdr:col>
      <xdr:colOff>318375</xdr:colOff>
      <xdr:row>5</xdr:row>
      <xdr:rowOff>67722</xdr:rowOff>
    </xdr:to>
    <xdr:sp macro="" textlink="">
      <xdr:nvSpPr>
        <xdr:cNvPr id="46" name="TextBox 45">
          <a:hlinkClick xmlns:r="http://schemas.openxmlformats.org/officeDocument/2006/relationships" r:id="rId4"/>
          <a:extLst>
            <a:ext uri="{FF2B5EF4-FFF2-40B4-BE49-F238E27FC236}">
              <a16:creationId xmlns:a16="http://schemas.microsoft.com/office/drawing/2014/main" id="{A86DBFA0-6B0B-4944-B72E-2CE1F67C7D11}"/>
            </a:ext>
          </a:extLst>
        </xdr:cNvPr>
        <xdr:cNvSpPr txBox="1"/>
      </xdr:nvSpPr>
      <xdr:spPr>
        <a:xfrm>
          <a:off x="228139" y="452502"/>
          <a:ext cx="1926531" cy="552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47" name="TextBox 46">
          <a:extLst>
            <a:ext uri="{FF2B5EF4-FFF2-40B4-BE49-F238E27FC236}">
              <a16:creationId xmlns:a16="http://schemas.microsoft.com/office/drawing/2014/main" id="{7098FB63-DCA4-42FF-9677-722428E985E8}"/>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COIMBATORE </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48" name="TextBox 47">
          <a:extLst>
            <a:ext uri="{FF2B5EF4-FFF2-40B4-BE49-F238E27FC236}">
              <a16:creationId xmlns:a16="http://schemas.microsoft.com/office/drawing/2014/main" id="{D2AA196A-1CC1-4BF1-BB8E-9BEEDB4456FB}"/>
            </a:ext>
          </a:extLst>
        </xdr:cNvPr>
        <xdr:cNvSpPr txBox="1"/>
      </xdr:nvSpPr>
      <xdr:spPr>
        <a:xfrm>
          <a:off x="2689057" y="901967"/>
          <a:ext cx="149993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4</xdr:row>
      <xdr:rowOff>180401</xdr:rowOff>
    </xdr:from>
    <xdr:to>
      <xdr:col>9</xdr:col>
      <xdr:colOff>303972</xdr:colOff>
      <xdr:row>6</xdr:row>
      <xdr:rowOff>90164</xdr:rowOff>
    </xdr:to>
    <xdr:sp macro="" textlink="">
      <xdr:nvSpPr>
        <xdr:cNvPr id="49" name="TextBox 48">
          <a:extLst>
            <a:ext uri="{FF2B5EF4-FFF2-40B4-BE49-F238E27FC236}">
              <a16:creationId xmlns:a16="http://schemas.microsoft.com/office/drawing/2014/main" id="{E41C4497-EB28-4FE1-AB1D-14CB7DE00756}"/>
            </a:ext>
          </a:extLst>
        </xdr:cNvPr>
        <xdr:cNvSpPr txBox="1"/>
      </xdr:nvSpPr>
      <xdr:spPr>
        <a:xfrm>
          <a:off x="4290434" y="911921"/>
          <a:ext cx="1499938"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378792</xdr:colOff>
      <xdr:row>5</xdr:row>
      <xdr:rowOff>11961</xdr:rowOff>
    </xdr:from>
    <xdr:to>
      <xdr:col>12</xdr:col>
      <xdr:colOff>47924</xdr:colOff>
      <xdr:row>6</xdr:row>
      <xdr:rowOff>102197</xdr:rowOff>
    </xdr:to>
    <xdr:sp macro="" textlink="">
      <xdr:nvSpPr>
        <xdr:cNvPr id="50" name="TextBox 49">
          <a:extLst>
            <a:ext uri="{FF2B5EF4-FFF2-40B4-BE49-F238E27FC236}">
              <a16:creationId xmlns:a16="http://schemas.microsoft.com/office/drawing/2014/main" id="{2B56ED09-F507-45EC-A2F4-FC62176806C1}"/>
            </a:ext>
          </a:extLst>
        </xdr:cNvPr>
        <xdr:cNvSpPr txBox="1"/>
      </xdr:nvSpPr>
      <xdr:spPr>
        <a:xfrm>
          <a:off x="5887677" y="948846"/>
          <a:ext cx="1505427" cy="27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113833</xdr:colOff>
      <xdr:row>5</xdr:row>
      <xdr:rowOff>14960</xdr:rowOff>
    </xdr:from>
    <xdr:to>
      <xdr:col>14</xdr:col>
      <xdr:colOff>394570</xdr:colOff>
      <xdr:row>6</xdr:row>
      <xdr:rowOff>105196</xdr:rowOff>
    </xdr:to>
    <xdr:sp macro="" textlink="">
      <xdr:nvSpPr>
        <xdr:cNvPr id="51" name="TextBox 50">
          <a:extLst>
            <a:ext uri="{FF2B5EF4-FFF2-40B4-BE49-F238E27FC236}">
              <a16:creationId xmlns:a16="http://schemas.microsoft.com/office/drawing/2014/main" id="{07B294A3-56F4-4D6A-B6BD-E848BE8CFE3B}"/>
            </a:ext>
          </a:extLst>
        </xdr:cNvPr>
        <xdr:cNvSpPr txBox="1"/>
      </xdr:nvSpPr>
      <xdr:spPr>
        <a:xfrm>
          <a:off x="7459013" y="951845"/>
          <a:ext cx="1504934" cy="277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0</xdr:col>
      <xdr:colOff>110289</xdr:colOff>
      <xdr:row>8</xdr:row>
      <xdr:rowOff>19460</xdr:rowOff>
    </xdr:from>
    <xdr:to>
      <xdr:col>3</xdr:col>
      <xdr:colOff>491289</xdr:colOff>
      <xdr:row>10</xdr:row>
      <xdr:rowOff>174497</xdr:rowOff>
    </xdr:to>
    <xdr:grpSp>
      <xdr:nvGrpSpPr>
        <xdr:cNvPr id="67" name="Group 66">
          <a:extLst>
            <a:ext uri="{FF2B5EF4-FFF2-40B4-BE49-F238E27FC236}">
              <a16:creationId xmlns:a16="http://schemas.microsoft.com/office/drawing/2014/main" id="{9D36946D-F5DC-F0DB-6384-D5F57038E72B}"/>
            </a:ext>
          </a:extLst>
        </xdr:cNvPr>
        <xdr:cNvGrpSpPr/>
      </xdr:nvGrpSpPr>
      <xdr:grpSpPr>
        <a:xfrm>
          <a:off x="110289" y="1444499"/>
          <a:ext cx="2221675" cy="511297"/>
          <a:chOff x="110289" y="1437773"/>
          <a:chExt cx="2215816" cy="577516"/>
        </a:xfrm>
      </xdr:grpSpPr>
      <xdr:sp macro="" textlink="">
        <xdr:nvSpPr>
          <xdr:cNvPr id="44" name="Rectangle: Rounded Corners 43">
            <a:extLst>
              <a:ext uri="{FF2B5EF4-FFF2-40B4-BE49-F238E27FC236}">
                <a16:creationId xmlns:a16="http://schemas.microsoft.com/office/drawing/2014/main" id="{B209F56B-FB6A-4BCA-9933-F242BF24E6EC}"/>
              </a:ext>
            </a:extLst>
          </xdr:cNvPr>
          <xdr:cNvSpPr/>
        </xdr:nvSpPr>
        <xdr:spPr>
          <a:xfrm>
            <a:off x="110289" y="1463843"/>
            <a:ext cx="2215816" cy="551446"/>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2" name="TextBox 41">
            <a:hlinkClick xmlns:r="http://schemas.openxmlformats.org/officeDocument/2006/relationships" r:id="rId5"/>
            <a:extLst>
              <a:ext uri="{FF2B5EF4-FFF2-40B4-BE49-F238E27FC236}">
                <a16:creationId xmlns:a16="http://schemas.microsoft.com/office/drawing/2014/main" id="{D3998F4D-FEC0-4E23-BDEB-4D9C67D75E0A}"/>
              </a:ext>
            </a:extLst>
          </xdr:cNvPr>
          <xdr:cNvSpPr txBox="1"/>
        </xdr:nvSpPr>
        <xdr:spPr>
          <a:xfrm>
            <a:off x="224589" y="1437773"/>
            <a:ext cx="2005263" cy="531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tx1"/>
                </a:solidFill>
                <a:latin typeface="Source Sans Pro" panose="020B0503030403020204" pitchFamily="34" charset="0"/>
                <a:ea typeface="Source Sans Pro" panose="020B0503030403020204" pitchFamily="34" charset="0"/>
                <a:cs typeface="+mn-cs"/>
              </a:rPr>
              <a:t>COIMBATORE</a:t>
            </a:r>
          </a:p>
        </xdr:txBody>
      </xdr:sp>
    </xdr:grpSp>
    <xdr:clientData/>
  </xdr:twoCellAnchor>
  <xdr:twoCellAnchor>
    <xdr:from>
      <xdr:col>4</xdr:col>
      <xdr:colOff>200526</xdr:colOff>
      <xdr:row>9</xdr:row>
      <xdr:rowOff>70184</xdr:rowOff>
    </xdr:from>
    <xdr:to>
      <xdr:col>7</xdr:col>
      <xdr:colOff>64910</xdr:colOff>
      <xdr:row>19</xdr:row>
      <xdr:rowOff>36647</xdr:rowOff>
    </xdr:to>
    <xdr:grpSp>
      <xdr:nvGrpSpPr>
        <xdr:cNvPr id="52" name="Group 51">
          <a:extLst>
            <a:ext uri="{FF2B5EF4-FFF2-40B4-BE49-F238E27FC236}">
              <a16:creationId xmlns:a16="http://schemas.microsoft.com/office/drawing/2014/main" id="{EBA4EC4A-8765-4E5B-A1B3-10FEA1722724}"/>
            </a:ext>
          </a:extLst>
        </xdr:cNvPr>
        <xdr:cNvGrpSpPr/>
      </xdr:nvGrpSpPr>
      <xdr:grpSpPr>
        <a:xfrm>
          <a:off x="2654760" y="1673353"/>
          <a:ext cx="1705059" cy="1747762"/>
          <a:chOff x="15848061" y="5690370"/>
          <a:chExt cx="3486727" cy="1860357"/>
        </a:xfrm>
      </xdr:grpSpPr>
      <xdr:graphicFrame macro="">
        <xdr:nvGraphicFramePr>
          <xdr:cNvPr id="53" name="Chart 52">
            <a:extLst>
              <a:ext uri="{FF2B5EF4-FFF2-40B4-BE49-F238E27FC236}">
                <a16:creationId xmlns:a16="http://schemas.microsoft.com/office/drawing/2014/main" id="{F8656066-992A-FBEE-3686-A325B9D87B45}"/>
              </a:ext>
            </a:extLst>
          </xdr:cNvPr>
          <xdr:cNvGraphicFramePr/>
        </xdr:nvGraphicFramePr>
        <xdr:xfrm>
          <a:off x="15848061" y="5690370"/>
          <a:ext cx="3486727" cy="1860357"/>
        </xdr:xfrm>
        <a:graphic>
          <a:graphicData uri="http://schemas.openxmlformats.org/drawingml/2006/chart">
            <c:chart xmlns:c="http://schemas.openxmlformats.org/drawingml/2006/chart" xmlns:r="http://schemas.openxmlformats.org/officeDocument/2006/relationships" r:id="rId6"/>
          </a:graphicData>
        </a:graphic>
      </xdr:graphicFrame>
      <xdr:sp macro="" textlink="DPCbe!$F$25">
        <xdr:nvSpPr>
          <xdr:cNvPr id="54" name="TextBox 53">
            <a:extLst>
              <a:ext uri="{FF2B5EF4-FFF2-40B4-BE49-F238E27FC236}">
                <a16:creationId xmlns:a16="http://schemas.microsoft.com/office/drawing/2014/main" id="{0CF917A1-8EF5-38DA-6933-010DC5BF74E7}"/>
              </a:ext>
            </a:extLst>
          </xdr:cNvPr>
          <xdr:cNvSpPr txBox="1"/>
        </xdr:nvSpPr>
        <xdr:spPr>
          <a:xfrm>
            <a:off x="17033941" y="6527031"/>
            <a:ext cx="1143339" cy="228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3E90E2-E944-49E7-B601-BD5E44573DD2}"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pPr/>
              <a:t>77.8</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clientData/>
  </xdr:twoCellAnchor>
  <xdr:twoCellAnchor>
    <xdr:from>
      <xdr:col>7</xdr:col>
      <xdr:colOff>354263</xdr:colOff>
      <xdr:row>9</xdr:row>
      <xdr:rowOff>100263</xdr:rowOff>
    </xdr:from>
    <xdr:to>
      <xdr:col>10</xdr:col>
      <xdr:colOff>218647</xdr:colOff>
      <xdr:row>19</xdr:row>
      <xdr:rowOff>66726</xdr:rowOff>
    </xdr:to>
    <xdr:grpSp>
      <xdr:nvGrpSpPr>
        <xdr:cNvPr id="55" name="Group 54">
          <a:extLst>
            <a:ext uri="{FF2B5EF4-FFF2-40B4-BE49-F238E27FC236}">
              <a16:creationId xmlns:a16="http://schemas.microsoft.com/office/drawing/2014/main" id="{9B911C9F-2E84-411D-8ACD-EADCC909C8C5}"/>
            </a:ext>
          </a:extLst>
        </xdr:cNvPr>
        <xdr:cNvGrpSpPr/>
      </xdr:nvGrpSpPr>
      <xdr:grpSpPr>
        <a:xfrm>
          <a:off x="4649172" y="1703432"/>
          <a:ext cx="1705059" cy="1747762"/>
          <a:chOff x="12892426" y="5711151"/>
          <a:chExt cx="3417455" cy="1847274"/>
        </a:xfrm>
      </xdr:grpSpPr>
      <xdr:graphicFrame macro="">
        <xdr:nvGraphicFramePr>
          <xdr:cNvPr id="56" name="Chart 55">
            <a:extLst>
              <a:ext uri="{FF2B5EF4-FFF2-40B4-BE49-F238E27FC236}">
                <a16:creationId xmlns:a16="http://schemas.microsoft.com/office/drawing/2014/main" id="{E23FB670-86A5-CA69-A0D8-14A02D4D81FF}"/>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7"/>
          </a:graphicData>
        </a:graphic>
      </xdr:graphicFrame>
      <xdr:sp macro="" textlink="DPCbe!$I$4">
        <xdr:nvSpPr>
          <xdr:cNvPr id="57" name="TextBox 56">
            <a:extLst>
              <a:ext uri="{FF2B5EF4-FFF2-40B4-BE49-F238E27FC236}">
                <a16:creationId xmlns:a16="http://schemas.microsoft.com/office/drawing/2014/main" id="{50830190-DA8B-5BCD-1596-05AF208D8DB1}"/>
              </a:ext>
            </a:extLst>
          </xdr:cNvPr>
          <xdr:cNvSpPr txBox="1"/>
        </xdr:nvSpPr>
        <xdr:spPr>
          <a:xfrm>
            <a:off x="14159647" y="6568183"/>
            <a:ext cx="865340" cy="284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8AF3A7-BB2C-408B-97E5-78427C9C4C98}" type="TxLink">
              <a:rPr lang="en-US" sz="1300" b="1" i="0" u="none" strike="noStrike">
                <a:solidFill>
                  <a:srgbClr val="FFE082"/>
                </a:solidFill>
                <a:latin typeface="Source Sans Pro" panose="020B0503030403020204" pitchFamily="34" charset="0"/>
                <a:ea typeface="Source Sans Pro" panose="020B0503030403020204" pitchFamily="34" charset="0"/>
                <a:cs typeface="Calibri"/>
              </a:rPr>
              <a:pPr algn="ctr"/>
              <a:t>9</a:t>
            </a:fld>
            <a:endParaRPr lang="en-IN" sz="1300" b="1">
              <a:solidFill>
                <a:srgbClr val="FFE082"/>
              </a:solidFill>
              <a:latin typeface="Source Sans Pro" panose="020B0503030403020204" pitchFamily="34" charset="0"/>
              <a:ea typeface="Source Sans Pro" panose="020B0503030403020204" pitchFamily="34" charset="0"/>
            </a:endParaRPr>
          </a:p>
        </xdr:txBody>
      </xdr:sp>
    </xdr:grpSp>
    <xdr:clientData/>
  </xdr:twoCellAnchor>
  <xdr:twoCellAnchor>
    <xdr:from>
      <xdr:col>10</xdr:col>
      <xdr:colOff>508000</xdr:colOff>
      <xdr:row>9</xdr:row>
      <xdr:rowOff>110289</xdr:rowOff>
    </xdr:from>
    <xdr:to>
      <xdr:col>13</xdr:col>
      <xdr:colOff>372385</xdr:colOff>
      <xdr:row>19</xdr:row>
      <xdr:rowOff>76752</xdr:rowOff>
    </xdr:to>
    <xdr:grpSp>
      <xdr:nvGrpSpPr>
        <xdr:cNvPr id="58" name="Group 57">
          <a:extLst>
            <a:ext uri="{FF2B5EF4-FFF2-40B4-BE49-F238E27FC236}">
              <a16:creationId xmlns:a16="http://schemas.microsoft.com/office/drawing/2014/main" id="{E94336A1-D27E-4D24-A467-2310F3FB3CA6}"/>
            </a:ext>
          </a:extLst>
        </xdr:cNvPr>
        <xdr:cNvGrpSpPr/>
      </xdr:nvGrpSpPr>
      <xdr:grpSpPr>
        <a:xfrm>
          <a:off x="6643584" y="1713458"/>
          <a:ext cx="1705061" cy="1747762"/>
          <a:chOff x="8697575" y="7745463"/>
          <a:chExt cx="3502122" cy="1837266"/>
        </a:xfrm>
      </xdr:grpSpPr>
      <xdr:graphicFrame macro="">
        <xdr:nvGraphicFramePr>
          <xdr:cNvPr id="59" name="Chart 58">
            <a:extLst>
              <a:ext uri="{FF2B5EF4-FFF2-40B4-BE49-F238E27FC236}">
                <a16:creationId xmlns:a16="http://schemas.microsoft.com/office/drawing/2014/main" id="{296D2BBB-D317-A831-82D3-5F4D0EB63B0D}"/>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8"/>
          </a:graphicData>
        </a:graphic>
      </xdr:graphicFrame>
      <xdr:sp macro="" textlink="DPCbe!$L$25">
        <xdr:nvSpPr>
          <xdr:cNvPr id="60" name="TextBox 59">
            <a:extLst>
              <a:ext uri="{FF2B5EF4-FFF2-40B4-BE49-F238E27FC236}">
                <a16:creationId xmlns:a16="http://schemas.microsoft.com/office/drawing/2014/main" id="{0C6AE3F4-8C30-353D-F8BE-6488C6136678}"/>
              </a:ext>
            </a:extLst>
          </xdr:cNvPr>
          <xdr:cNvSpPr txBox="1"/>
        </xdr:nvSpPr>
        <xdr:spPr>
          <a:xfrm>
            <a:off x="9648150" y="8589817"/>
            <a:ext cx="1694502" cy="299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CB76065-043F-48DA-A555-5F601A8C52DA}"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06:14:13</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14</xdr:col>
      <xdr:colOff>50132</xdr:colOff>
      <xdr:row>9</xdr:row>
      <xdr:rowOff>110290</xdr:rowOff>
    </xdr:from>
    <xdr:to>
      <xdr:col>16</xdr:col>
      <xdr:colOff>526122</xdr:colOff>
      <xdr:row>19</xdr:row>
      <xdr:rowOff>76753</xdr:rowOff>
    </xdr:to>
    <xdr:grpSp>
      <xdr:nvGrpSpPr>
        <xdr:cNvPr id="61" name="Group 60">
          <a:extLst>
            <a:ext uri="{FF2B5EF4-FFF2-40B4-BE49-F238E27FC236}">
              <a16:creationId xmlns:a16="http://schemas.microsoft.com/office/drawing/2014/main" id="{2CDCF412-A0C9-4E6A-BA55-E42678F07462}"/>
            </a:ext>
          </a:extLst>
        </xdr:cNvPr>
        <xdr:cNvGrpSpPr/>
      </xdr:nvGrpSpPr>
      <xdr:grpSpPr>
        <a:xfrm>
          <a:off x="8639950" y="1713459"/>
          <a:ext cx="1703107" cy="1747762"/>
          <a:chOff x="12769274" y="7722369"/>
          <a:chExt cx="3440546" cy="1891146"/>
        </a:xfrm>
      </xdr:grpSpPr>
      <xdr:graphicFrame macro="">
        <xdr:nvGraphicFramePr>
          <xdr:cNvPr id="62" name="Chart 61">
            <a:extLst>
              <a:ext uri="{FF2B5EF4-FFF2-40B4-BE49-F238E27FC236}">
                <a16:creationId xmlns:a16="http://schemas.microsoft.com/office/drawing/2014/main" id="{912AE37B-0C23-C58C-5637-E0BCAF5E1059}"/>
              </a:ext>
            </a:extLst>
          </xdr:cNvPr>
          <xdr:cNvGraphicFramePr/>
        </xdr:nvGraphicFramePr>
        <xdr:xfrm>
          <a:off x="12769274" y="7722369"/>
          <a:ext cx="3440546" cy="1891146"/>
        </xdr:xfrm>
        <a:graphic>
          <a:graphicData uri="http://schemas.openxmlformats.org/drawingml/2006/chart">
            <c:chart xmlns:c="http://schemas.openxmlformats.org/drawingml/2006/chart" xmlns:r="http://schemas.openxmlformats.org/officeDocument/2006/relationships" r:id="rId9"/>
          </a:graphicData>
        </a:graphic>
      </xdr:graphicFrame>
      <xdr:sp macro="" textlink="DPCbe!$M$25">
        <xdr:nvSpPr>
          <xdr:cNvPr id="63" name="TextBox 62">
            <a:extLst>
              <a:ext uri="{FF2B5EF4-FFF2-40B4-BE49-F238E27FC236}">
                <a16:creationId xmlns:a16="http://schemas.microsoft.com/office/drawing/2014/main" id="{A59A8BA4-E4D1-1EC5-2D3A-669F3A4ED661}"/>
              </a:ext>
            </a:extLst>
          </xdr:cNvPr>
          <xdr:cNvSpPr txBox="1"/>
        </xdr:nvSpPr>
        <xdr:spPr>
          <a:xfrm>
            <a:off x="13648257" y="8605210"/>
            <a:ext cx="1635474" cy="3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27757C7-423E-4410-BAD2-C2459611F332}"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17:57:06</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clientData/>
  </xdr:twoCellAnchor>
  <xdr:twoCellAnchor>
    <xdr:from>
      <xdr:col>4</xdr:col>
      <xdr:colOff>129540</xdr:colOff>
      <xdr:row>17</xdr:row>
      <xdr:rowOff>0</xdr:rowOff>
    </xdr:from>
    <xdr:to>
      <xdr:col>11</xdr:col>
      <xdr:colOff>130342</xdr:colOff>
      <xdr:row>30</xdr:row>
      <xdr:rowOff>120315</xdr:rowOff>
    </xdr:to>
    <xdr:grpSp>
      <xdr:nvGrpSpPr>
        <xdr:cNvPr id="68" name="Group 67">
          <a:extLst>
            <a:ext uri="{FF2B5EF4-FFF2-40B4-BE49-F238E27FC236}">
              <a16:creationId xmlns:a16="http://schemas.microsoft.com/office/drawing/2014/main" id="{2E65EEA9-FC36-345D-C93A-95107F0F8E19}"/>
            </a:ext>
          </a:extLst>
        </xdr:cNvPr>
        <xdr:cNvGrpSpPr/>
      </xdr:nvGrpSpPr>
      <xdr:grpSpPr>
        <a:xfrm>
          <a:off x="2583774" y="3028208"/>
          <a:ext cx="4295711" cy="2436003"/>
          <a:chOff x="2575961" y="3068053"/>
          <a:chExt cx="4241933" cy="2466473"/>
        </a:xfrm>
      </xdr:grpSpPr>
      <xdr:sp macro="" textlink="">
        <xdr:nvSpPr>
          <xdr:cNvPr id="29" name="Rectangle: Rounded Corners 28">
            <a:extLst>
              <a:ext uri="{FF2B5EF4-FFF2-40B4-BE49-F238E27FC236}">
                <a16:creationId xmlns:a16="http://schemas.microsoft.com/office/drawing/2014/main" id="{509D9C87-B299-3381-D4D3-B08BC4F63C0C}"/>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4" name="Chart 63">
            <a:extLst>
              <a:ext uri="{FF2B5EF4-FFF2-40B4-BE49-F238E27FC236}">
                <a16:creationId xmlns:a16="http://schemas.microsoft.com/office/drawing/2014/main" id="{A41A81BB-72F0-4B90-9C38-08E2C410BF99}"/>
              </a:ext>
            </a:extLst>
          </xdr:cNvPr>
          <xdr:cNvGraphicFramePr>
            <a:graphicFrameLocks/>
          </xdr:cNvGraphicFramePr>
        </xdr:nvGraphicFramePr>
        <xdr:xfrm>
          <a:off x="2646947" y="3088105"/>
          <a:ext cx="4170947" cy="2446421"/>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10</xdr:col>
      <xdr:colOff>501315</xdr:colOff>
      <xdr:row>17</xdr:row>
      <xdr:rowOff>15240</xdr:rowOff>
    </xdr:from>
    <xdr:to>
      <xdr:col>17</xdr:col>
      <xdr:colOff>120316</xdr:colOff>
      <xdr:row>30</xdr:row>
      <xdr:rowOff>120315</xdr:rowOff>
    </xdr:to>
    <xdr:grpSp>
      <xdr:nvGrpSpPr>
        <xdr:cNvPr id="69" name="Group 68">
          <a:extLst>
            <a:ext uri="{FF2B5EF4-FFF2-40B4-BE49-F238E27FC236}">
              <a16:creationId xmlns:a16="http://schemas.microsoft.com/office/drawing/2014/main" id="{C7F88125-1DE1-A3D7-078A-7F1024F02910}"/>
            </a:ext>
          </a:extLst>
        </xdr:cNvPr>
        <xdr:cNvGrpSpPr/>
      </xdr:nvGrpSpPr>
      <xdr:grpSpPr>
        <a:xfrm>
          <a:off x="6636899" y="3043448"/>
          <a:ext cx="3913911" cy="2420763"/>
          <a:chOff x="6577263" y="3083293"/>
          <a:chExt cx="3900237" cy="2451233"/>
        </a:xfrm>
      </xdr:grpSpPr>
      <xdr:sp macro="" textlink="">
        <xdr:nvSpPr>
          <xdr:cNvPr id="32" name="Rectangle: Rounded Corners 31">
            <a:extLst>
              <a:ext uri="{FF2B5EF4-FFF2-40B4-BE49-F238E27FC236}">
                <a16:creationId xmlns:a16="http://schemas.microsoft.com/office/drawing/2014/main" id="{246F4A0B-E911-8BC6-D891-9C1A1B73F19C}"/>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5" name="Chart 64">
            <a:extLst>
              <a:ext uri="{FF2B5EF4-FFF2-40B4-BE49-F238E27FC236}">
                <a16:creationId xmlns:a16="http://schemas.microsoft.com/office/drawing/2014/main" id="{4163AA67-AA74-46C5-933D-5118471714E5}"/>
              </a:ext>
            </a:extLst>
          </xdr:cNvPr>
          <xdr:cNvGraphicFramePr>
            <a:graphicFrameLocks/>
          </xdr:cNvGraphicFramePr>
        </xdr:nvGraphicFramePr>
        <xdr:xfrm>
          <a:off x="6577263" y="3108159"/>
          <a:ext cx="3900237" cy="2426367"/>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461209</xdr:colOff>
      <xdr:row>31</xdr:row>
      <xdr:rowOff>17246</xdr:rowOff>
    </xdr:from>
    <xdr:to>
      <xdr:col>18</xdr:col>
      <xdr:colOff>76763</xdr:colOff>
      <xdr:row>45</xdr:row>
      <xdr:rowOff>149805</xdr:rowOff>
    </xdr:to>
    <xdr:grpSp>
      <xdr:nvGrpSpPr>
        <xdr:cNvPr id="70" name="Group 69">
          <a:extLst>
            <a:ext uri="{FF2B5EF4-FFF2-40B4-BE49-F238E27FC236}">
              <a16:creationId xmlns:a16="http://schemas.microsoft.com/office/drawing/2014/main" id="{0B7491C7-3585-75AC-7FAE-DD92DF40F79B}"/>
            </a:ext>
          </a:extLst>
        </xdr:cNvPr>
        <xdr:cNvGrpSpPr/>
      </xdr:nvGrpSpPr>
      <xdr:grpSpPr>
        <a:xfrm>
          <a:off x="6596793" y="5539272"/>
          <a:ext cx="4524022" cy="2626377"/>
          <a:chOff x="6577262" y="5611930"/>
          <a:chExt cx="4508396" cy="2659191"/>
        </a:xfrm>
      </xdr:grpSpPr>
      <xdr:sp macro="" textlink="">
        <xdr:nvSpPr>
          <xdr:cNvPr id="35" name="Rectangle: Rounded Corners 34">
            <a:extLst>
              <a:ext uri="{FF2B5EF4-FFF2-40B4-BE49-F238E27FC236}">
                <a16:creationId xmlns:a16="http://schemas.microsoft.com/office/drawing/2014/main" id="{BDFA2ED3-8F52-E5BC-8CE8-FCC07078C1FF}"/>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 name="Chart 65">
            <a:extLst>
              <a:ext uri="{FF2B5EF4-FFF2-40B4-BE49-F238E27FC236}">
                <a16:creationId xmlns:a16="http://schemas.microsoft.com/office/drawing/2014/main" id="{3F2B095F-C08E-4234-804A-398A2F665DA4}"/>
              </a:ext>
            </a:extLst>
          </xdr:cNvPr>
          <xdr:cNvGraphicFramePr>
            <a:graphicFrameLocks/>
          </xdr:cNvGraphicFramePr>
        </xdr:nvGraphicFramePr>
        <xdr:xfrm>
          <a:off x="6577262" y="5664868"/>
          <a:ext cx="4508396" cy="2606253"/>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451031</xdr:colOff>
      <xdr:row>5</xdr:row>
      <xdr:rowOff>13101</xdr:rowOff>
    </xdr:from>
    <xdr:to>
      <xdr:col>17</xdr:col>
      <xdr:colOff>104997</xdr:colOff>
      <xdr:row>6</xdr:row>
      <xdr:rowOff>97388</xdr:rowOff>
    </xdr:to>
    <xdr:sp macro="" textlink="">
      <xdr:nvSpPr>
        <xdr:cNvPr id="71" name="TextBox 70">
          <a:extLst>
            <a:ext uri="{FF2B5EF4-FFF2-40B4-BE49-F238E27FC236}">
              <a16:creationId xmlns:a16="http://schemas.microsoft.com/office/drawing/2014/main" id="{888D5DCD-A382-40EE-A577-2AE6FFCD6B43}"/>
            </a:ext>
          </a:extLst>
        </xdr:cNvPr>
        <xdr:cNvSpPr txBox="1"/>
      </xdr:nvSpPr>
      <xdr:spPr>
        <a:xfrm>
          <a:off x="9020408" y="949986"/>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349771</xdr:colOff>
      <xdr:row>0</xdr:row>
      <xdr:rowOff>24983</xdr:rowOff>
    </xdr:from>
    <xdr:to>
      <xdr:col>15</xdr:col>
      <xdr:colOff>460259</xdr:colOff>
      <xdr:row>3</xdr:row>
      <xdr:rowOff>185438</xdr:rowOff>
    </xdr:to>
    <xdr:pic macro="[0]!Refresh_Dashboard">
      <xdr:nvPicPr>
        <xdr:cNvPr id="72" name="Graphic 71" descr="Arrow circle with solid fill">
          <a:extLst>
            <a:ext uri="{FF2B5EF4-FFF2-40B4-BE49-F238E27FC236}">
              <a16:creationId xmlns:a16="http://schemas.microsoft.com/office/drawing/2014/main" id="{21C09D82-D8CB-4FC7-A988-6AAE3B71D0B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919148" y="24983"/>
          <a:ext cx="722586" cy="722586"/>
        </a:xfrm>
        <a:prstGeom prst="rect">
          <a:avLst/>
        </a:prstGeom>
      </xdr:spPr>
    </xdr:pic>
    <xdr:clientData/>
  </xdr:twoCellAnchor>
  <xdr:twoCellAnchor>
    <xdr:from>
      <xdr:col>4</xdr:col>
      <xdr:colOff>136759</xdr:colOff>
      <xdr:row>30</xdr:row>
      <xdr:rowOff>150394</xdr:rowOff>
    </xdr:from>
    <xdr:to>
      <xdr:col>10</xdr:col>
      <xdr:colOff>334879</xdr:colOff>
      <xdr:row>45</xdr:row>
      <xdr:rowOff>70185</xdr:rowOff>
    </xdr:to>
    <xdr:grpSp>
      <xdr:nvGrpSpPr>
        <xdr:cNvPr id="74" name="Group 73">
          <a:extLst>
            <a:ext uri="{FF2B5EF4-FFF2-40B4-BE49-F238E27FC236}">
              <a16:creationId xmlns:a16="http://schemas.microsoft.com/office/drawing/2014/main" id="{CB21901B-B1A7-0EAB-EA10-B133797F2A85}"/>
            </a:ext>
          </a:extLst>
        </xdr:cNvPr>
        <xdr:cNvGrpSpPr/>
      </xdr:nvGrpSpPr>
      <xdr:grpSpPr>
        <a:xfrm>
          <a:off x="2590993" y="5494290"/>
          <a:ext cx="3879470" cy="2591739"/>
          <a:chOff x="2585152" y="5771705"/>
          <a:chExt cx="3870711" cy="2730447"/>
        </a:xfrm>
      </xdr:grpSpPr>
      <xdr:grpSp>
        <xdr:nvGrpSpPr>
          <xdr:cNvPr id="37" name="Group 36">
            <a:extLst>
              <a:ext uri="{FF2B5EF4-FFF2-40B4-BE49-F238E27FC236}">
                <a16:creationId xmlns:a16="http://schemas.microsoft.com/office/drawing/2014/main" id="{3E7C4445-40CE-4987-9663-30D3ED23CE78}"/>
              </a:ext>
            </a:extLst>
          </xdr:cNvPr>
          <xdr:cNvGrpSpPr/>
        </xdr:nvGrpSpPr>
        <xdr:grpSpPr>
          <a:xfrm>
            <a:off x="2585152" y="5771705"/>
            <a:ext cx="3870711" cy="2730447"/>
            <a:chOff x="2583180" y="5564605"/>
            <a:chExt cx="3867752" cy="2626896"/>
          </a:xfrm>
        </xdr:grpSpPr>
        <xdr:sp macro="" textlink="">
          <xdr:nvSpPr>
            <xdr:cNvPr id="38" name="Rectangle: Rounded Corners 37">
              <a:extLst>
                <a:ext uri="{FF2B5EF4-FFF2-40B4-BE49-F238E27FC236}">
                  <a16:creationId xmlns:a16="http://schemas.microsoft.com/office/drawing/2014/main" id="{4E2B21AB-B4CC-C71C-517D-E3D25A081E95}"/>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tsle="http://schemas.microsoft.com/office/drawing/2012/timeslicer">
          <mc:Choice Requires="tsle">
            <xdr:graphicFrame macro="">
              <xdr:nvGraphicFramePr>
                <xdr:cNvPr id="39" name="Date 4">
                  <a:extLst>
                    <a:ext uri="{FF2B5EF4-FFF2-40B4-BE49-F238E27FC236}">
                      <a16:creationId xmlns:a16="http://schemas.microsoft.com/office/drawing/2014/main" id="{529B506A-50FB-A369-FBD4-63449AA3CC10}"/>
                    </a:ext>
                  </a:extLst>
                </xdr:cNvPr>
                <xdr:cNvGraphicFramePr/>
              </xdr:nvGraphicFramePr>
              <xdr:xfrm>
                <a:off x="2687054" y="5564605"/>
                <a:ext cx="3559342" cy="842211"/>
              </xdr:xfrm>
              <a:graphic>
                <a:graphicData uri="http://schemas.microsoft.com/office/drawing/2012/timeslicer">
                  <tsle:timeslicer name="Date 4"/>
                </a:graphicData>
              </a:graphic>
            </xdr:graphicFrame>
          </mc:Choice>
          <mc:Fallback xmlns="">
            <xdr:sp macro="" textlink="">
              <xdr:nvSpPr>
                <xdr:cNvPr id="0" name=""/>
                <xdr:cNvSpPr>
                  <a:spLocks noTextEdit="1"/>
                </xdr:cNvSpPr>
              </xdr:nvSpPr>
              <xdr:spPr>
                <a:xfrm>
                  <a:off x="2695182" y="5494290"/>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40" name="Date 5">
                  <a:extLst>
                    <a:ext uri="{FF2B5EF4-FFF2-40B4-BE49-F238E27FC236}">
                      <a16:creationId xmlns:a16="http://schemas.microsoft.com/office/drawing/2014/main" id="{3FA608A0-F6F3-A7A3-3133-E7A6473AEF19}"/>
                    </a:ext>
                  </a:extLst>
                </xdr:cNvPr>
                <xdr:cNvGraphicFramePr/>
              </xdr:nvGraphicFramePr>
              <xdr:xfrm>
                <a:off x="2677028" y="6414321"/>
                <a:ext cx="3589420" cy="1676916"/>
              </xdr:xfrm>
              <a:graphic>
                <a:graphicData uri="http://schemas.microsoft.com/office/drawing/2010/slicer">
                  <sle:slicer xmlns:sle="http://schemas.microsoft.com/office/drawing/2010/slicer" name="Date 5"/>
                </a:graphicData>
              </a:graphic>
            </xdr:graphicFrame>
          </mc:Choice>
          <mc:Fallback xmlns="">
            <xdr:sp macro="" textlink="">
              <xdr:nvSpPr>
                <xdr:cNvPr id="0" name=""/>
                <xdr:cNvSpPr>
                  <a:spLocks noTextEdit="1"/>
                </xdr:cNvSpPr>
              </xdr:nvSpPr>
              <xdr:spPr>
                <a:xfrm>
                  <a:off x="2685125" y="6332634"/>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73" name="TextBox 72">
            <a:extLst>
              <a:ext uri="{FF2B5EF4-FFF2-40B4-BE49-F238E27FC236}">
                <a16:creationId xmlns:a16="http://schemas.microsoft.com/office/drawing/2014/main" id="{F1B53A6C-2199-4971-A611-4AAEB4D89FA0}"/>
              </a:ext>
            </a:extLst>
          </xdr:cNvPr>
          <xdr:cNvSpPr txBox="1"/>
        </xdr:nvSpPr>
        <xdr:spPr>
          <a:xfrm>
            <a:off x="3672590" y="5858656"/>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387247</xdr:colOff>
      <xdr:row>0</xdr:row>
      <xdr:rowOff>0</xdr:rowOff>
    </xdr:from>
    <xdr:to>
      <xdr:col>16</xdr:col>
      <xdr:colOff>536009</xdr:colOff>
      <xdr:row>4</xdr:row>
      <xdr:rowOff>11354</xdr:rowOff>
    </xdr:to>
    <xdr:pic>
      <xdr:nvPicPr>
        <xdr:cNvPr id="75" name="Picture 74">
          <a:extLst>
            <a:ext uri="{FF2B5EF4-FFF2-40B4-BE49-F238E27FC236}">
              <a16:creationId xmlns:a16="http://schemas.microsoft.com/office/drawing/2014/main" id="{E6427FB1-8CCE-45EE-BEF0-B6E8B4FFFF5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68722" y="0"/>
          <a:ext cx="760861" cy="760862"/>
        </a:xfrm>
        <a:prstGeom prst="rect">
          <a:avLst/>
        </a:prstGeom>
      </xdr:spPr>
    </xdr:pic>
    <xdr:clientData/>
  </xdr:twoCellAnchor>
  <xdr:twoCellAnchor editAs="oneCell">
    <xdr:from>
      <xdr:col>4</xdr:col>
      <xdr:colOff>282092</xdr:colOff>
      <xdr:row>4</xdr:row>
      <xdr:rowOff>127784</xdr:rowOff>
    </xdr:from>
    <xdr:to>
      <xdr:col>4</xdr:col>
      <xdr:colOff>555974</xdr:colOff>
      <xdr:row>8</xdr:row>
      <xdr:rowOff>140276</xdr:rowOff>
    </xdr:to>
    <xdr:pic>
      <xdr:nvPicPr>
        <xdr:cNvPr id="76" name="Picture 75">
          <a:extLst>
            <a:ext uri="{FF2B5EF4-FFF2-40B4-BE49-F238E27FC236}">
              <a16:creationId xmlns:a16="http://schemas.microsoft.com/office/drawing/2014/main" id="{A245F77E-98AD-4AAF-A84E-1252FF30069B}"/>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730485" y="877292"/>
          <a:ext cx="273882" cy="762000"/>
        </a:xfrm>
        <a:prstGeom prst="rect">
          <a:avLst/>
        </a:prstGeom>
      </xdr:spPr>
    </xdr:pic>
    <xdr:clientData/>
  </xdr:twoCellAnchor>
  <xdr:twoCellAnchor editAs="oneCell">
    <xdr:from>
      <xdr:col>6</xdr:col>
      <xdr:colOff>587115</xdr:colOff>
      <xdr:row>4</xdr:row>
      <xdr:rowOff>124918</xdr:rowOff>
    </xdr:from>
    <xdr:to>
      <xdr:col>7</xdr:col>
      <xdr:colOff>317914</xdr:colOff>
      <xdr:row>8</xdr:row>
      <xdr:rowOff>110912</xdr:rowOff>
    </xdr:to>
    <xdr:pic>
      <xdr:nvPicPr>
        <xdr:cNvPr id="77" name="Picture 76">
          <a:extLst>
            <a:ext uri="{FF2B5EF4-FFF2-40B4-BE49-F238E27FC236}">
              <a16:creationId xmlns:a16="http://schemas.microsoft.com/office/drawing/2014/main" id="{203806F2-554D-4F2A-850A-8775C3DE233A}"/>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59705" y="874426"/>
          <a:ext cx="342898" cy="735502"/>
        </a:xfrm>
        <a:prstGeom prst="rect">
          <a:avLst/>
        </a:prstGeom>
      </xdr:spPr>
    </xdr:pic>
    <xdr:clientData/>
  </xdr:twoCellAnchor>
  <xdr:twoCellAnchor editAs="oneCell">
    <xdr:from>
      <xdr:col>12</xdr:col>
      <xdr:colOff>121001</xdr:colOff>
      <xdr:row>5</xdr:row>
      <xdr:rowOff>74951</xdr:rowOff>
    </xdr:from>
    <xdr:to>
      <xdr:col>12</xdr:col>
      <xdr:colOff>412231</xdr:colOff>
      <xdr:row>8</xdr:row>
      <xdr:rowOff>13973</xdr:rowOff>
    </xdr:to>
    <xdr:pic>
      <xdr:nvPicPr>
        <xdr:cNvPr id="78" name="Picture 77">
          <a:extLst>
            <a:ext uri="{FF2B5EF4-FFF2-40B4-BE49-F238E27FC236}">
              <a16:creationId xmlns:a16="http://schemas.microsoft.com/office/drawing/2014/main" id="{96033A47-368B-4EDA-A303-162224FC9809}"/>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66181" y="1011836"/>
          <a:ext cx="291230" cy="501153"/>
        </a:xfrm>
        <a:prstGeom prst="rect">
          <a:avLst/>
        </a:prstGeom>
      </xdr:spPr>
    </xdr:pic>
    <xdr:clientData/>
  </xdr:twoCellAnchor>
  <xdr:twoCellAnchor editAs="oneCell">
    <xdr:from>
      <xdr:col>9</xdr:col>
      <xdr:colOff>367596</xdr:colOff>
      <xdr:row>5</xdr:row>
      <xdr:rowOff>130567</xdr:rowOff>
    </xdr:from>
    <xdr:to>
      <xdr:col>10</xdr:col>
      <xdr:colOff>74951</xdr:colOff>
      <xdr:row>8</xdr:row>
      <xdr:rowOff>101836</xdr:rowOff>
    </xdr:to>
    <xdr:pic>
      <xdr:nvPicPr>
        <xdr:cNvPr id="79" name="Picture 78">
          <a:extLst>
            <a:ext uri="{FF2B5EF4-FFF2-40B4-BE49-F238E27FC236}">
              <a16:creationId xmlns:a16="http://schemas.microsoft.com/office/drawing/2014/main" id="{3102393C-5D78-4F49-94D3-44289361DAC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76481" y="1067452"/>
          <a:ext cx="319454" cy="533400"/>
        </a:xfrm>
        <a:prstGeom prst="rect">
          <a:avLst/>
        </a:prstGeom>
      </xdr:spPr>
    </xdr:pic>
    <xdr:clientData/>
  </xdr:twoCellAnchor>
  <xdr:twoCellAnchor editAs="oneCell">
    <xdr:from>
      <xdr:col>14</xdr:col>
      <xdr:colOff>476014</xdr:colOff>
      <xdr:row>6</xdr:row>
      <xdr:rowOff>610</xdr:rowOff>
    </xdr:from>
    <xdr:to>
      <xdr:col>15</xdr:col>
      <xdr:colOff>151945</xdr:colOff>
      <xdr:row>8</xdr:row>
      <xdr:rowOff>53238</xdr:rowOff>
    </xdr:to>
    <xdr:pic>
      <xdr:nvPicPr>
        <xdr:cNvPr id="80" name="Picture 79" descr="Cloud Generic color fill icon">
          <a:extLst>
            <a:ext uri="{FF2B5EF4-FFF2-40B4-BE49-F238E27FC236}">
              <a16:creationId xmlns:a16="http://schemas.microsoft.com/office/drawing/2014/main" id="{4A31CD7B-7F9B-4645-A132-9517608210AD}"/>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45391" y="1124872"/>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378792</xdr:colOff>
      <xdr:row>10</xdr:row>
      <xdr:rowOff>37601</xdr:rowOff>
    </xdr:from>
    <xdr:to>
      <xdr:col>8</xdr:col>
      <xdr:colOff>126760</xdr:colOff>
      <xdr:row>12</xdr:row>
      <xdr:rowOff>34681</xdr:rowOff>
    </xdr:to>
    <xdr:pic>
      <xdr:nvPicPr>
        <xdr:cNvPr id="81" name="Picture 80" descr="UV radiation icon solar ultraviolet light symbol for graphic design ...">
          <a:extLst>
            <a:ext uri="{FF2B5EF4-FFF2-40B4-BE49-F238E27FC236}">
              <a16:creationId xmlns:a16="http://schemas.microsoft.com/office/drawing/2014/main" id="{0A9654A0-8E80-421B-906E-758294136B38}"/>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663481" y="1911371"/>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236845</xdr:colOff>
      <xdr:row>10</xdr:row>
      <xdr:rowOff>27233</xdr:rowOff>
    </xdr:from>
    <xdr:to>
      <xdr:col>4</xdr:col>
      <xdr:colOff>602904</xdr:colOff>
      <xdr:row>11</xdr:row>
      <xdr:rowOff>176031</xdr:rowOff>
    </xdr:to>
    <xdr:pic>
      <xdr:nvPicPr>
        <xdr:cNvPr id="82" name="Picture 81">
          <a:extLst>
            <a:ext uri="{FF2B5EF4-FFF2-40B4-BE49-F238E27FC236}">
              <a16:creationId xmlns:a16="http://schemas.microsoft.com/office/drawing/2014/main" id="{22F438B1-5334-4033-A48E-65359955155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685238" y="1901003"/>
          <a:ext cx="366059" cy="336176"/>
        </a:xfrm>
        <a:prstGeom prst="rect">
          <a:avLst/>
        </a:prstGeom>
      </xdr:spPr>
    </xdr:pic>
    <xdr:clientData/>
  </xdr:twoCellAnchor>
  <xdr:twoCellAnchor editAs="oneCell">
    <xdr:from>
      <xdr:col>10</xdr:col>
      <xdr:colOff>436713</xdr:colOff>
      <xdr:row>10</xdr:row>
      <xdr:rowOff>52216</xdr:rowOff>
    </xdr:from>
    <xdr:to>
      <xdr:col>11</xdr:col>
      <xdr:colOff>366319</xdr:colOff>
      <xdr:row>12</xdr:row>
      <xdr:rowOff>46218</xdr:rowOff>
    </xdr:to>
    <xdr:pic>
      <xdr:nvPicPr>
        <xdr:cNvPr id="83" name="Picture 82" descr="Sun rise logo Royalty Free Vector Image - VectorStock">
          <a:extLst>
            <a:ext uri="{FF2B5EF4-FFF2-40B4-BE49-F238E27FC236}">
              <a16:creationId xmlns:a16="http://schemas.microsoft.com/office/drawing/2014/main" id="{F04B937C-BF2D-4DBA-8482-FCDA29644B48}"/>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57697" y="1925986"/>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36601</xdr:colOff>
      <xdr:row>10</xdr:row>
      <xdr:rowOff>20238</xdr:rowOff>
    </xdr:from>
    <xdr:to>
      <xdr:col>14</xdr:col>
      <xdr:colOff>483291</xdr:colOff>
      <xdr:row>12</xdr:row>
      <xdr:rowOff>13345</xdr:rowOff>
    </xdr:to>
    <xdr:pic>
      <xdr:nvPicPr>
        <xdr:cNvPr id="84" name="Picture 83" descr="Sun Vector illustration Icon 9967049 Vector Art at Vecteezy">
          <a:extLst>
            <a:ext uri="{FF2B5EF4-FFF2-40B4-BE49-F238E27FC236}">
              <a16:creationId xmlns:a16="http://schemas.microsoft.com/office/drawing/2014/main" id="{79DE7087-0FB8-4F05-AFF2-C14D581181DF}"/>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605978" y="1894008"/>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F2E887FF-D63A-4B6C-B972-0353CA80C21B}"/>
            </a:ext>
          </a:extLst>
        </xdr:cNvPr>
        <xdr:cNvSpPr/>
      </xdr:nvSpPr>
      <xdr:spPr>
        <a:xfrm>
          <a:off x="2448426" y="0"/>
          <a:ext cx="8235617" cy="8442559"/>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129540</xdr:colOff>
      <xdr:row>0</xdr:row>
      <xdr:rowOff>38100</xdr:rowOff>
    </xdr:from>
    <xdr:to>
      <xdr:col>16</xdr:col>
      <xdr:colOff>606751</xdr:colOff>
      <xdr:row>3</xdr:row>
      <xdr:rowOff>160421</xdr:rowOff>
    </xdr:to>
    <xdr:sp macro="" textlink="">
      <xdr:nvSpPr>
        <xdr:cNvPr id="6" name="Rectangle: Rounded Corners 5">
          <a:extLst>
            <a:ext uri="{FF2B5EF4-FFF2-40B4-BE49-F238E27FC236}">
              <a16:creationId xmlns:a16="http://schemas.microsoft.com/office/drawing/2014/main" id="{C936A76D-4832-42EB-BB5E-1736E0CDEC56}"/>
            </a:ext>
          </a:extLst>
        </xdr:cNvPr>
        <xdr:cNvSpPr/>
      </xdr:nvSpPr>
      <xdr:spPr>
        <a:xfrm>
          <a:off x="2567940" y="38100"/>
          <a:ext cx="7792411" cy="67096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PMdi!$B$25">
      <xdr:nvSpPr>
        <xdr:cNvPr id="7" name="Rectangle: Rounded Corners 6">
          <a:extLst>
            <a:ext uri="{FF2B5EF4-FFF2-40B4-BE49-F238E27FC236}">
              <a16:creationId xmlns:a16="http://schemas.microsoft.com/office/drawing/2014/main" id="{9381B1AD-29FC-468E-A6D7-65005C94CBF9}"/>
            </a:ext>
          </a:extLst>
        </xdr:cNvPr>
        <xdr:cNvSpPr/>
      </xdr:nvSpPr>
      <xdr:spPr>
        <a:xfrm>
          <a:off x="7403721" y="886848"/>
          <a:ext cx="1397987"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AB95FE-C057-4B10-95A5-8338EC3387A0}"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14.8</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PMdi!$C$4">
      <xdr:nvSpPr>
        <xdr:cNvPr id="8" name="Rectangle: Rounded Corners 7">
          <a:extLst>
            <a:ext uri="{FF2B5EF4-FFF2-40B4-BE49-F238E27FC236}">
              <a16:creationId xmlns:a16="http://schemas.microsoft.com/office/drawing/2014/main" id="{12059296-7A66-4CF3-B00B-D71286B3045C}"/>
            </a:ext>
          </a:extLst>
        </xdr:cNvPr>
        <xdr:cNvSpPr/>
      </xdr:nvSpPr>
      <xdr:spPr>
        <a:xfrm>
          <a:off x="4222255" y="861790"/>
          <a:ext cx="1398050"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A4FE9C5-55DC-4F73-88D6-A442B464A7BE}"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36.0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PMdi!$B$4">
      <xdr:nvSpPr>
        <xdr:cNvPr id="9" name="Rectangle: Rounded Corners 8">
          <a:extLst>
            <a:ext uri="{FF2B5EF4-FFF2-40B4-BE49-F238E27FC236}">
              <a16:creationId xmlns:a16="http://schemas.microsoft.com/office/drawing/2014/main" id="{D98FB549-BA97-4196-AC61-346B72A81C6F}"/>
            </a:ext>
          </a:extLst>
        </xdr:cNvPr>
        <xdr:cNvSpPr/>
      </xdr:nvSpPr>
      <xdr:spPr>
        <a:xfrm>
          <a:off x="2630550" y="852308"/>
          <a:ext cx="1397988"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A4E3ADD-C09D-41C5-B6EB-5D7C81825BDC}"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25.0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PMdi!$P$4">
      <xdr:nvSpPr>
        <xdr:cNvPr id="10" name="Rectangle: Rounded Corners 9">
          <a:extLst>
            <a:ext uri="{FF2B5EF4-FFF2-40B4-BE49-F238E27FC236}">
              <a16:creationId xmlns:a16="http://schemas.microsoft.com/office/drawing/2014/main" id="{435D5AD3-3E90-4F9C-ADEB-1E444F47B31F}"/>
            </a:ext>
          </a:extLst>
        </xdr:cNvPr>
        <xdr:cNvSpPr/>
      </xdr:nvSpPr>
      <xdr:spPr>
        <a:xfrm>
          <a:off x="8995424" y="887527"/>
          <a:ext cx="1398051"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E073837F-9CE3-405B-BC53-3255AE03073C}"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45.1</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PMdi!$M$4">
      <xdr:nvSpPr>
        <xdr:cNvPr id="11" name="Rectangle: Rounded Corners 10">
          <a:extLst>
            <a:ext uri="{FF2B5EF4-FFF2-40B4-BE49-F238E27FC236}">
              <a16:creationId xmlns:a16="http://schemas.microsoft.com/office/drawing/2014/main" id="{C50D0BC8-D36E-4BAD-A213-A1425C509C64}"/>
            </a:ext>
          </a:extLst>
        </xdr:cNvPr>
        <xdr:cNvSpPr/>
      </xdr:nvSpPr>
      <xdr:spPr>
        <a:xfrm>
          <a:off x="5814022" y="880075"/>
          <a:ext cx="1397988" cy="75935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972C02D-169B-422A-8051-8E74FBC3B213}"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38.7</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28" name="TextBox 27">
          <a:extLst>
            <a:ext uri="{FF2B5EF4-FFF2-40B4-BE49-F238E27FC236}">
              <a16:creationId xmlns:a16="http://schemas.microsoft.com/office/drawing/2014/main" id="{614F6DDE-F5E1-43F2-BD75-D8208E68BDC5}"/>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MADURAI </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29" name="TextBox 28">
          <a:extLst>
            <a:ext uri="{FF2B5EF4-FFF2-40B4-BE49-F238E27FC236}">
              <a16:creationId xmlns:a16="http://schemas.microsoft.com/office/drawing/2014/main" id="{723A28D7-2F55-427A-AD3C-977E78C3D32E}"/>
            </a:ext>
          </a:extLst>
        </xdr:cNvPr>
        <xdr:cNvSpPr txBox="1"/>
      </xdr:nvSpPr>
      <xdr:spPr>
        <a:xfrm>
          <a:off x="2689057" y="901967"/>
          <a:ext cx="149993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4</xdr:row>
      <xdr:rowOff>180401</xdr:rowOff>
    </xdr:from>
    <xdr:to>
      <xdr:col>9</xdr:col>
      <xdr:colOff>303972</xdr:colOff>
      <xdr:row>6</xdr:row>
      <xdr:rowOff>90164</xdr:rowOff>
    </xdr:to>
    <xdr:sp macro="" textlink="">
      <xdr:nvSpPr>
        <xdr:cNvPr id="30" name="TextBox 29">
          <a:extLst>
            <a:ext uri="{FF2B5EF4-FFF2-40B4-BE49-F238E27FC236}">
              <a16:creationId xmlns:a16="http://schemas.microsoft.com/office/drawing/2014/main" id="{F6F0A093-5D21-4DE1-8B03-051BA198F209}"/>
            </a:ext>
          </a:extLst>
        </xdr:cNvPr>
        <xdr:cNvSpPr txBox="1"/>
      </xdr:nvSpPr>
      <xdr:spPr>
        <a:xfrm>
          <a:off x="4290434" y="911921"/>
          <a:ext cx="1499938"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349425</xdr:colOff>
      <xdr:row>5</xdr:row>
      <xdr:rowOff>11961</xdr:rowOff>
    </xdr:from>
    <xdr:to>
      <xdr:col>12</xdr:col>
      <xdr:colOff>18557</xdr:colOff>
      <xdr:row>6</xdr:row>
      <xdr:rowOff>102197</xdr:rowOff>
    </xdr:to>
    <xdr:sp macro="" textlink="">
      <xdr:nvSpPr>
        <xdr:cNvPr id="31" name="TextBox 30">
          <a:extLst>
            <a:ext uri="{FF2B5EF4-FFF2-40B4-BE49-F238E27FC236}">
              <a16:creationId xmlns:a16="http://schemas.microsoft.com/office/drawing/2014/main" id="{148B3356-E053-4B6D-8F94-6077C5FE2ED5}"/>
            </a:ext>
          </a:extLst>
        </xdr:cNvPr>
        <xdr:cNvSpPr txBox="1"/>
      </xdr:nvSpPr>
      <xdr:spPr>
        <a:xfrm>
          <a:off x="5883951" y="947750"/>
          <a:ext cx="1513974" cy="277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121941</xdr:colOff>
      <xdr:row>5</xdr:row>
      <xdr:rowOff>14960</xdr:rowOff>
    </xdr:from>
    <xdr:to>
      <xdr:col>14</xdr:col>
      <xdr:colOff>402678</xdr:colOff>
      <xdr:row>6</xdr:row>
      <xdr:rowOff>105196</xdr:rowOff>
    </xdr:to>
    <xdr:sp macro="" textlink="">
      <xdr:nvSpPr>
        <xdr:cNvPr id="32" name="TextBox 31">
          <a:extLst>
            <a:ext uri="{FF2B5EF4-FFF2-40B4-BE49-F238E27FC236}">
              <a16:creationId xmlns:a16="http://schemas.microsoft.com/office/drawing/2014/main" id="{16E1AE59-8884-4DF1-A551-A653872115EF}"/>
            </a:ext>
          </a:extLst>
        </xdr:cNvPr>
        <xdr:cNvSpPr txBox="1"/>
      </xdr:nvSpPr>
      <xdr:spPr>
        <a:xfrm>
          <a:off x="7501309" y="950749"/>
          <a:ext cx="1510632" cy="277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4</xdr:col>
      <xdr:colOff>121920</xdr:colOff>
      <xdr:row>9</xdr:row>
      <xdr:rowOff>70185</xdr:rowOff>
    </xdr:from>
    <xdr:to>
      <xdr:col>7</xdr:col>
      <xdr:colOff>114300</xdr:colOff>
      <xdr:row>19</xdr:row>
      <xdr:rowOff>36648</xdr:rowOff>
    </xdr:to>
    <xdr:grpSp>
      <xdr:nvGrpSpPr>
        <xdr:cNvPr id="71" name="Group 70">
          <a:extLst>
            <a:ext uri="{FF2B5EF4-FFF2-40B4-BE49-F238E27FC236}">
              <a16:creationId xmlns:a16="http://schemas.microsoft.com/office/drawing/2014/main" id="{29C68C9E-499D-6639-BDA1-7B55BFFAA72A}"/>
            </a:ext>
          </a:extLst>
        </xdr:cNvPr>
        <xdr:cNvGrpSpPr/>
      </xdr:nvGrpSpPr>
      <xdr:grpSpPr>
        <a:xfrm>
          <a:off x="2576154" y="1673354"/>
          <a:ext cx="1833055" cy="1747762"/>
          <a:chOff x="2568341" y="1694448"/>
          <a:chExt cx="1827196" cy="1771200"/>
        </a:xfrm>
      </xdr:grpSpPr>
      <xdr:sp macro="" textlink="">
        <xdr:nvSpPr>
          <xdr:cNvPr id="12" name="Rectangle: Rounded Corners 11">
            <a:extLst>
              <a:ext uri="{FF2B5EF4-FFF2-40B4-BE49-F238E27FC236}">
                <a16:creationId xmlns:a16="http://schemas.microsoft.com/office/drawing/2014/main" id="{AE67A9BC-3B02-4FF6-9680-5889B8B446C3}"/>
              </a:ext>
            </a:extLst>
          </xdr:cNvPr>
          <xdr:cNvSpPr/>
        </xdr:nvSpPr>
        <xdr:spPr>
          <a:xfrm>
            <a:off x="2568341" y="1791903"/>
            <a:ext cx="1827196" cy="11185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6" name="Group 55">
            <a:extLst>
              <a:ext uri="{FF2B5EF4-FFF2-40B4-BE49-F238E27FC236}">
                <a16:creationId xmlns:a16="http://schemas.microsoft.com/office/drawing/2014/main" id="{07FD0EE2-166E-4C66-8F40-B9DA1826395C}"/>
              </a:ext>
            </a:extLst>
          </xdr:cNvPr>
          <xdr:cNvGrpSpPr/>
        </xdr:nvGrpSpPr>
        <xdr:grpSpPr>
          <a:xfrm>
            <a:off x="2616869" y="1694448"/>
            <a:ext cx="1699200" cy="1771200"/>
            <a:chOff x="15848061" y="5690370"/>
            <a:chExt cx="3486727" cy="1860357"/>
          </a:xfrm>
        </xdr:grpSpPr>
        <xdr:graphicFrame macro="">
          <xdr:nvGraphicFramePr>
            <xdr:cNvPr id="57" name="Chart 56">
              <a:extLst>
                <a:ext uri="{FF2B5EF4-FFF2-40B4-BE49-F238E27FC236}">
                  <a16:creationId xmlns:a16="http://schemas.microsoft.com/office/drawing/2014/main" id="{72383141-614C-F6D8-55B8-9A03E1E61D0B}"/>
                </a:ext>
              </a:extLst>
            </xdr:cNvPr>
            <xdr:cNvGraphicFramePr/>
          </xdr:nvGraphicFramePr>
          <xdr:xfrm>
            <a:off x="15848061" y="5690370"/>
            <a:ext cx="3486727" cy="1860357"/>
          </xdr:xfrm>
          <a:graphic>
            <a:graphicData uri="http://schemas.openxmlformats.org/drawingml/2006/chart">
              <c:chart xmlns:c="http://schemas.openxmlformats.org/drawingml/2006/chart" xmlns:r="http://schemas.openxmlformats.org/officeDocument/2006/relationships" r:id="rId1"/>
            </a:graphicData>
          </a:graphic>
        </xdr:graphicFrame>
        <xdr:sp macro="" textlink="DPMdi!$F$25">
          <xdr:nvSpPr>
            <xdr:cNvPr id="58" name="TextBox 57">
              <a:extLst>
                <a:ext uri="{FF2B5EF4-FFF2-40B4-BE49-F238E27FC236}">
                  <a16:creationId xmlns:a16="http://schemas.microsoft.com/office/drawing/2014/main" id="{AEE86E48-DD51-48CD-2CC9-0B271C07C08B}"/>
                </a:ext>
              </a:extLst>
            </xdr:cNvPr>
            <xdr:cNvSpPr txBox="1"/>
          </xdr:nvSpPr>
          <xdr:spPr>
            <a:xfrm>
              <a:off x="17061917" y="6537560"/>
              <a:ext cx="1033950" cy="311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428455-2250-4065-A1BB-7B9BFF7246A1}"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pPr/>
                <a:t>65.8</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7</xdr:col>
      <xdr:colOff>246380</xdr:colOff>
      <xdr:row>9</xdr:row>
      <xdr:rowOff>60157</xdr:rowOff>
    </xdr:from>
    <xdr:to>
      <xdr:col>10</xdr:col>
      <xdr:colOff>254000</xdr:colOff>
      <xdr:row>19</xdr:row>
      <xdr:rowOff>26620</xdr:rowOff>
    </xdr:to>
    <xdr:grpSp>
      <xdr:nvGrpSpPr>
        <xdr:cNvPr id="72" name="Group 71">
          <a:extLst>
            <a:ext uri="{FF2B5EF4-FFF2-40B4-BE49-F238E27FC236}">
              <a16:creationId xmlns:a16="http://schemas.microsoft.com/office/drawing/2014/main" id="{9928595D-CA90-CF14-EE6A-4723F5D0EF04}"/>
            </a:ext>
          </a:extLst>
        </xdr:cNvPr>
        <xdr:cNvGrpSpPr/>
      </xdr:nvGrpSpPr>
      <xdr:grpSpPr>
        <a:xfrm>
          <a:off x="4541289" y="1663326"/>
          <a:ext cx="1848295" cy="1747762"/>
          <a:chOff x="4527617" y="1684420"/>
          <a:chExt cx="1842436" cy="1771200"/>
        </a:xfrm>
      </xdr:grpSpPr>
      <xdr:sp macro="" textlink="">
        <xdr:nvSpPr>
          <xdr:cNvPr id="15" name="Rectangle: Rounded Corners 14">
            <a:extLst>
              <a:ext uri="{FF2B5EF4-FFF2-40B4-BE49-F238E27FC236}">
                <a16:creationId xmlns:a16="http://schemas.microsoft.com/office/drawing/2014/main" id="{FA5803EE-AD7A-4237-99C6-D4DAEA2ABCA4}"/>
              </a:ext>
            </a:extLst>
          </xdr:cNvPr>
          <xdr:cNvSpPr/>
        </xdr:nvSpPr>
        <xdr:spPr>
          <a:xfrm>
            <a:off x="4527617" y="1812357"/>
            <a:ext cx="1842436" cy="1082842"/>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9" name="Group 58">
            <a:extLst>
              <a:ext uri="{FF2B5EF4-FFF2-40B4-BE49-F238E27FC236}">
                <a16:creationId xmlns:a16="http://schemas.microsoft.com/office/drawing/2014/main" id="{6136375E-2496-486A-9B10-A0E50B53482B}"/>
              </a:ext>
            </a:extLst>
          </xdr:cNvPr>
          <xdr:cNvGrpSpPr/>
        </xdr:nvGrpSpPr>
        <xdr:grpSpPr>
          <a:xfrm>
            <a:off x="4602079" y="1684420"/>
            <a:ext cx="1699200" cy="1771200"/>
            <a:chOff x="12892426" y="5711151"/>
            <a:chExt cx="3417455" cy="1847274"/>
          </a:xfrm>
        </xdr:grpSpPr>
        <xdr:graphicFrame macro="">
          <xdr:nvGraphicFramePr>
            <xdr:cNvPr id="60" name="Chart 59">
              <a:extLst>
                <a:ext uri="{FF2B5EF4-FFF2-40B4-BE49-F238E27FC236}">
                  <a16:creationId xmlns:a16="http://schemas.microsoft.com/office/drawing/2014/main" id="{3A55D725-71C6-4FBC-A6B4-F05EFE42725F}"/>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2"/>
            </a:graphicData>
          </a:graphic>
        </xdr:graphicFrame>
        <xdr:sp macro="" textlink="DPMdi!$I$4">
          <xdr:nvSpPr>
            <xdr:cNvPr id="61" name="TextBox 60">
              <a:extLst>
                <a:ext uri="{FF2B5EF4-FFF2-40B4-BE49-F238E27FC236}">
                  <a16:creationId xmlns:a16="http://schemas.microsoft.com/office/drawing/2014/main" id="{215F3ECC-02AC-CE52-D55C-B7AD782FE4BF}"/>
                </a:ext>
              </a:extLst>
            </xdr:cNvPr>
            <xdr:cNvSpPr txBox="1"/>
          </xdr:nvSpPr>
          <xdr:spPr>
            <a:xfrm>
              <a:off x="14172274" y="6554350"/>
              <a:ext cx="773861" cy="32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7AD7E5-9E6F-4D59-8F4F-0CA8C6AC9C3E}" type="TxLink">
                <a:rPr lang="en-US" sz="1400" b="1" i="0" u="none" strike="noStrike">
                  <a:solidFill>
                    <a:srgbClr val="FFE082"/>
                  </a:solidFill>
                  <a:latin typeface="Source Sans Pro" panose="020B0503030403020204" pitchFamily="34" charset="0"/>
                  <a:ea typeface="Source Sans Pro" panose="020B0503030403020204" pitchFamily="34" charset="0"/>
                  <a:cs typeface="Calibri"/>
                </a:rPr>
                <a:pPr algn="ctr"/>
                <a:t>9</a:t>
              </a:fld>
              <a:endParaRPr lang="en-IN" sz="1400" b="1">
                <a:solidFill>
                  <a:srgbClr val="FFE082"/>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13</xdr:col>
      <xdr:colOff>556260</xdr:colOff>
      <xdr:row>9</xdr:row>
      <xdr:rowOff>70184</xdr:rowOff>
    </xdr:from>
    <xdr:to>
      <xdr:col>17</xdr:col>
      <xdr:colOff>0</xdr:colOff>
      <xdr:row>19</xdr:row>
      <xdr:rowOff>36647</xdr:rowOff>
    </xdr:to>
    <xdr:grpSp>
      <xdr:nvGrpSpPr>
        <xdr:cNvPr id="74" name="Group 73">
          <a:extLst>
            <a:ext uri="{FF2B5EF4-FFF2-40B4-BE49-F238E27FC236}">
              <a16:creationId xmlns:a16="http://schemas.microsoft.com/office/drawing/2014/main" id="{7EBAB9DF-E060-FA6B-1911-BCE4A8E49B7C}"/>
            </a:ext>
          </a:extLst>
        </xdr:cNvPr>
        <xdr:cNvGrpSpPr/>
      </xdr:nvGrpSpPr>
      <xdr:grpSpPr>
        <a:xfrm>
          <a:off x="8532520" y="1673353"/>
          <a:ext cx="1897974" cy="1747762"/>
          <a:chOff x="8507128" y="1694447"/>
          <a:chExt cx="1890161" cy="1771200"/>
        </a:xfrm>
      </xdr:grpSpPr>
      <xdr:sp macro="" textlink="">
        <xdr:nvSpPr>
          <xdr:cNvPr id="13" name="Rectangle: Rounded Corners 12">
            <a:extLst>
              <a:ext uri="{FF2B5EF4-FFF2-40B4-BE49-F238E27FC236}">
                <a16:creationId xmlns:a16="http://schemas.microsoft.com/office/drawing/2014/main" id="{41587321-C14D-4DD5-8ED4-49263CB2CF0D}"/>
              </a:ext>
            </a:extLst>
          </xdr:cNvPr>
          <xdr:cNvSpPr/>
        </xdr:nvSpPr>
        <xdr:spPr>
          <a:xfrm>
            <a:off x="8507128" y="1819977"/>
            <a:ext cx="1890161"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2" name="Group 61">
            <a:extLst>
              <a:ext uri="{FF2B5EF4-FFF2-40B4-BE49-F238E27FC236}">
                <a16:creationId xmlns:a16="http://schemas.microsoft.com/office/drawing/2014/main" id="{B7935962-08E5-47EA-884C-B327455B978E}"/>
              </a:ext>
            </a:extLst>
          </xdr:cNvPr>
          <xdr:cNvGrpSpPr/>
        </xdr:nvGrpSpPr>
        <xdr:grpSpPr>
          <a:xfrm>
            <a:off x="8632658" y="1694447"/>
            <a:ext cx="1699200" cy="1771200"/>
            <a:chOff x="12769274" y="7722369"/>
            <a:chExt cx="3440546" cy="1891146"/>
          </a:xfrm>
        </xdr:grpSpPr>
        <xdr:graphicFrame macro="">
          <xdr:nvGraphicFramePr>
            <xdr:cNvPr id="63" name="Chart 62">
              <a:extLst>
                <a:ext uri="{FF2B5EF4-FFF2-40B4-BE49-F238E27FC236}">
                  <a16:creationId xmlns:a16="http://schemas.microsoft.com/office/drawing/2014/main" id="{E3671922-9F0E-1904-D0C5-546C32CB5AB2}"/>
                </a:ext>
              </a:extLst>
            </xdr:cNvPr>
            <xdr:cNvGraphicFramePr/>
          </xdr:nvGraphicFramePr>
          <xdr:xfrm>
            <a:off x="12769274" y="7722369"/>
            <a:ext cx="3440546" cy="1891146"/>
          </xdr:xfrm>
          <a:graphic>
            <a:graphicData uri="http://schemas.openxmlformats.org/drawingml/2006/chart">
              <c:chart xmlns:c="http://schemas.openxmlformats.org/drawingml/2006/chart" xmlns:r="http://schemas.openxmlformats.org/officeDocument/2006/relationships" r:id="rId3"/>
            </a:graphicData>
          </a:graphic>
        </xdr:graphicFrame>
        <xdr:sp macro="" textlink="DPMdi!$M$25">
          <xdr:nvSpPr>
            <xdr:cNvPr id="64" name="TextBox 63">
              <a:extLst>
                <a:ext uri="{FF2B5EF4-FFF2-40B4-BE49-F238E27FC236}">
                  <a16:creationId xmlns:a16="http://schemas.microsoft.com/office/drawing/2014/main" id="{2CBF2CE1-5A3C-208F-5CC6-F9BB37F7B2DF}"/>
                </a:ext>
              </a:extLst>
            </xdr:cNvPr>
            <xdr:cNvSpPr txBox="1"/>
          </xdr:nvSpPr>
          <xdr:spPr>
            <a:xfrm>
              <a:off x="13655877" y="8605211"/>
              <a:ext cx="1642591" cy="36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162178-EE99-40A0-9D70-2F485B8EA9CB}"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17:53:41</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386080</xdr:colOff>
      <xdr:row>9</xdr:row>
      <xdr:rowOff>50131</xdr:rowOff>
    </xdr:from>
    <xdr:to>
      <xdr:col>13</xdr:col>
      <xdr:colOff>424180</xdr:colOff>
      <xdr:row>19</xdr:row>
      <xdr:rowOff>22795</xdr:rowOff>
    </xdr:to>
    <xdr:grpSp>
      <xdr:nvGrpSpPr>
        <xdr:cNvPr id="73" name="Group 72">
          <a:extLst>
            <a:ext uri="{FF2B5EF4-FFF2-40B4-BE49-F238E27FC236}">
              <a16:creationId xmlns:a16="http://schemas.microsoft.com/office/drawing/2014/main" id="{A291E6E5-914D-F0E5-C61C-ADAF04FF6BFF}"/>
            </a:ext>
          </a:extLst>
        </xdr:cNvPr>
        <xdr:cNvGrpSpPr/>
      </xdr:nvGrpSpPr>
      <xdr:grpSpPr>
        <a:xfrm>
          <a:off x="6521664" y="1653300"/>
          <a:ext cx="1878776" cy="1753963"/>
          <a:chOff x="6502133" y="1674394"/>
          <a:chExt cx="1872915" cy="1777401"/>
        </a:xfrm>
      </xdr:grpSpPr>
      <xdr:sp macro="" textlink="">
        <xdr:nvSpPr>
          <xdr:cNvPr id="14" name="Rectangle: Rounded Corners 13">
            <a:extLst>
              <a:ext uri="{FF2B5EF4-FFF2-40B4-BE49-F238E27FC236}">
                <a16:creationId xmlns:a16="http://schemas.microsoft.com/office/drawing/2014/main" id="{073384E1-7803-40F2-9042-6CF7BAD5D421}"/>
              </a:ext>
            </a:extLst>
          </xdr:cNvPr>
          <xdr:cNvSpPr/>
        </xdr:nvSpPr>
        <xdr:spPr>
          <a:xfrm>
            <a:off x="6502133" y="1819977"/>
            <a:ext cx="1872915"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5" name="Group 64">
            <a:extLst>
              <a:ext uri="{FF2B5EF4-FFF2-40B4-BE49-F238E27FC236}">
                <a16:creationId xmlns:a16="http://schemas.microsoft.com/office/drawing/2014/main" id="{A23089DD-8C9A-4DF5-AB11-25DF7A8B21B2}"/>
              </a:ext>
            </a:extLst>
          </xdr:cNvPr>
          <xdr:cNvGrpSpPr/>
        </xdr:nvGrpSpPr>
        <xdr:grpSpPr>
          <a:xfrm>
            <a:off x="6617367" y="1674394"/>
            <a:ext cx="1699200" cy="1777401"/>
            <a:chOff x="8697575" y="7745463"/>
            <a:chExt cx="3502122" cy="1837266"/>
          </a:xfrm>
        </xdr:grpSpPr>
        <xdr:graphicFrame macro="">
          <xdr:nvGraphicFramePr>
            <xdr:cNvPr id="66" name="Chart 65">
              <a:extLst>
                <a:ext uri="{FF2B5EF4-FFF2-40B4-BE49-F238E27FC236}">
                  <a16:creationId xmlns:a16="http://schemas.microsoft.com/office/drawing/2014/main" id="{15F104C8-2A9F-C5EA-066E-E2DA5C2393A1}"/>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4"/>
            </a:graphicData>
          </a:graphic>
        </xdr:graphicFrame>
        <xdr:sp macro="" textlink="DPMdi!$L$25">
          <xdr:nvSpPr>
            <xdr:cNvPr id="67" name="TextBox 66">
              <a:extLst>
                <a:ext uri="{FF2B5EF4-FFF2-40B4-BE49-F238E27FC236}">
                  <a16:creationId xmlns:a16="http://schemas.microsoft.com/office/drawing/2014/main" id="{103127BB-F051-02EC-F3AE-7038CABFAFD6}"/>
                </a:ext>
              </a:extLst>
            </xdr:cNvPr>
            <xdr:cNvSpPr txBox="1"/>
          </xdr:nvSpPr>
          <xdr:spPr>
            <a:xfrm>
              <a:off x="9625893" y="8599543"/>
              <a:ext cx="1683890" cy="335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33F208-81C2-4CD7-9747-0E36AF7A0094}"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06:08:24</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4</xdr:col>
      <xdr:colOff>129540</xdr:colOff>
      <xdr:row>16</xdr:row>
      <xdr:rowOff>120317</xdr:rowOff>
    </xdr:from>
    <xdr:to>
      <xdr:col>11</xdr:col>
      <xdr:colOff>440905</xdr:colOff>
      <xdr:row>30</xdr:row>
      <xdr:rowOff>121652</xdr:rowOff>
    </xdr:to>
    <xdr:grpSp>
      <xdr:nvGrpSpPr>
        <xdr:cNvPr id="75" name="Group 74">
          <a:extLst>
            <a:ext uri="{FF2B5EF4-FFF2-40B4-BE49-F238E27FC236}">
              <a16:creationId xmlns:a16="http://schemas.microsoft.com/office/drawing/2014/main" id="{61B0831A-21D7-15F3-2512-92A6D3D5CAD9}"/>
            </a:ext>
          </a:extLst>
        </xdr:cNvPr>
        <xdr:cNvGrpSpPr/>
      </xdr:nvGrpSpPr>
      <xdr:grpSpPr>
        <a:xfrm>
          <a:off x="2583774" y="2970395"/>
          <a:ext cx="4606274" cy="2495153"/>
          <a:chOff x="2575961" y="3007896"/>
          <a:chExt cx="4592602" cy="2527967"/>
        </a:xfrm>
      </xdr:grpSpPr>
      <xdr:sp macro="" textlink="">
        <xdr:nvSpPr>
          <xdr:cNvPr id="16" name="Rectangle: Rounded Corners 15">
            <a:extLst>
              <a:ext uri="{FF2B5EF4-FFF2-40B4-BE49-F238E27FC236}">
                <a16:creationId xmlns:a16="http://schemas.microsoft.com/office/drawing/2014/main" id="{F0C85E1D-208B-4B5E-BD6F-7C7AFDAE28EB}"/>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8" name="Chart 67">
            <a:extLst>
              <a:ext uri="{FF2B5EF4-FFF2-40B4-BE49-F238E27FC236}">
                <a16:creationId xmlns:a16="http://schemas.microsoft.com/office/drawing/2014/main" id="{97D5AF8A-097F-430C-A1DD-4234C71F9FB6}"/>
              </a:ext>
            </a:extLst>
          </xdr:cNvPr>
          <xdr:cNvGraphicFramePr>
            <a:graphicFrameLocks/>
          </xdr:cNvGraphicFramePr>
        </xdr:nvGraphicFramePr>
        <xdr:xfrm>
          <a:off x="2636921" y="3007896"/>
          <a:ext cx="4531642" cy="2527967"/>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464820</xdr:colOff>
      <xdr:row>16</xdr:row>
      <xdr:rowOff>170447</xdr:rowOff>
    </xdr:from>
    <xdr:to>
      <xdr:col>17</xdr:col>
      <xdr:colOff>90237</xdr:colOff>
      <xdr:row>30</xdr:row>
      <xdr:rowOff>60157</xdr:rowOff>
    </xdr:to>
    <xdr:grpSp>
      <xdr:nvGrpSpPr>
        <xdr:cNvPr id="76" name="Group 75">
          <a:extLst>
            <a:ext uri="{FF2B5EF4-FFF2-40B4-BE49-F238E27FC236}">
              <a16:creationId xmlns:a16="http://schemas.microsoft.com/office/drawing/2014/main" id="{B0348690-6085-3DF7-8A4B-781AD89CD8AC}"/>
            </a:ext>
          </a:extLst>
        </xdr:cNvPr>
        <xdr:cNvGrpSpPr/>
      </xdr:nvGrpSpPr>
      <xdr:grpSpPr>
        <a:xfrm>
          <a:off x="6600404" y="3020525"/>
          <a:ext cx="3920327" cy="2383528"/>
          <a:chOff x="6580873" y="3058026"/>
          <a:chExt cx="3906653" cy="2416342"/>
        </a:xfrm>
      </xdr:grpSpPr>
      <xdr:sp macro="" textlink="">
        <xdr:nvSpPr>
          <xdr:cNvPr id="17" name="Rectangle: Rounded Corners 16">
            <a:extLst>
              <a:ext uri="{FF2B5EF4-FFF2-40B4-BE49-F238E27FC236}">
                <a16:creationId xmlns:a16="http://schemas.microsoft.com/office/drawing/2014/main" id="{2307FB4F-9D52-47F6-9798-AAFD66050AB2}"/>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9" name="Chart 68">
            <a:extLst>
              <a:ext uri="{FF2B5EF4-FFF2-40B4-BE49-F238E27FC236}">
                <a16:creationId xmlns:a16="http://schemas.microsoft.com/office/drawing/2014/main" id="{81D6DE7D-017A-4808-8069-B2B11BED27B2}"/>
              </a:ext>
            </a:extLst>
          </xdr:cNvPr>
          <xdr:cNvGraphicFramePr>
            <a:graphicFrameLocks/>
          </xdr:cNvGraphicFramePr>
        </xdr:nvGraphicFramePr>
        <xdr:xfrm>
          <a:off x="6607342" y="3058026"/>
          <a:ext cx="3880184" cy="2416342"/>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10</xdr:col>
      <xdr:colOff>431131</xdr:colOff>
      <xdr:row>30</xdr:row>
      <xdr:rowOff>160420</xdr:rowOff>
    </xdr:from>
    <xdr:to>
      <xdr:col>18</xdr:col>
      <xdr:colOff>61172</xdr:colOff>
      <xdr:row>45</xdr:row>
      <xdr:rowOff>111908</xdr:rowOff>
    </xdr:to>
    <xdr:grpSp>
      <xdr:nvGrpSpPr>
        <xdr:cNvPr id="77" name="Group 76">
          <a:extLst>
            <a:ext uri="{FF2B5EF4-FFF2-40B4-BE49-F238E27FC236}">
              <a16:creationId xmlns:a16="http://schemas.microsoft.com/office/drawing/2014/main" id="{9165372E-41F7-AEA5-4869-536F1FA9C209}"/>
            </a:ext>
          </a:extLst>
        </xdr:cNvPr>
        <xdr:cNvGrpSpPr/>
      </xdr:nvGrpSpPr>
      <xdr:grpSpPr>
        <a:xfrm>
          <a:off x="6566715" y="5504316"/>
          <a:ext cx="4538509" cy="2623436"/>
          <a:chOff x="6547184" y="5574631"/>
          <a:chExt cx="4522883" cy="2658593"/>
        </a:xfrm>
      </xdr:grpSpPr>
      <xdr:sp macro="" textlink="">
        <xdr:nvSpPr>
          <xdr:cNvPr id="18" name="Rectangle: Rounded Corners 17">
            <a:extLst>
              <a:ext uri="{FF2B5EF4-FFF2-40B4-BE49-F238E27FC236}">
                <a16:creationId xmlns:a16="http://schemas.microsoft.com/office/drawing/2014/main" id="{D274DF24-CD18-40B3-B219-9E286E4D688D}"/>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0" name="Chart 69">
            <a:extLst>
              <a:ext uri="{FF2B5EF4-FFF2-40B4-BE49-F238E27FC236}">
                <a16:creationId xmlns:a16="http://schemas.microsoft.com/office/drawing/2014/main" id="{868486D0-8FD1-4026-9857-5C0A94714468}"/>
              </a:ext>
            </a:extLst>
          </xdr:cNvPr>
          <xdr:cNvGraphicFramePr>
            <a:graphicFrameLocks/>
          </xdr:cNvGraphicFramePr>
        </xdr:nvGraphicFramePr>
        <xdr:xfrm>
          <a:off x="6547184" y="5574631"/>
          <a:ext cx="4522883" cy="2658593"/>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14</xdr:col>
      <xdr:colOff>479740</xdr:colOff>
      <xdr:row>5</xdr:row>
      <xdr:rowOff>18580</xdr:rowOff>
    </xdr:from>
    <xdr:to>
      <xdr:col>17</xdr:col>
      <xdr:colOff>125159</xdr:colOff>
      <xdr:row>6</xdr:row>
      <xdr:rowOff>103086</xdr:rowOff>
    </xdr:to>
    <xdr:sp macro="" textlink="">
      <xdr:nvSpPr>
        <xdr:cNvPr id="78" name="TextBox 77">
          <a:extLst>
            <a:ext uri="{FF2B5EF4-FFF2-40B4-BE49-F238E27FC236}">
              <a16:creationId xmlns:a16="http://schemas.microsoft.com/office/drawing/2014/main" id="{43CEAC6E-CCEB-473F-B398-3E64D0917B90}"/>
            </a:ext>
          </a:extLst>
        </xdr:cNvPr>
        <xdr:cNvSpPr txBox="1"/>
      </xdr:nvSpPr>
      <xdr:spPr>
        <a:xfrm>
          <a:off x="9089003" y="954369"/>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374315</xdr:colOff>
      <xdr:row>0</xdr:row>
      <xdr:rowOff>0</xdr:rowOff>
    </xdr:from>
    <xdr:to>
      <xdr:col>15</xdr:col>
      <xdr:colOff>481953</xdr:colOff>
      <xdr:row>3</xdr:row>
      <xdr:rowOff>161112</xdr:rowOff>
    </xdr:to>
    <xdr:pic macro="[0]!Refresh_Dashboard">
      <xdr:nvPicPr>
        <xdr:cNvPr id="80" name="Graphic 79" descr="Arrow circle with solid fill">
          <a:extLst>
            <a:ext uri="{FF2B5EF4-FFF2-40B4-BE49-F238E27FC236}">
              <a16:creationId xmlns:a16="http://schemas.microsoft.com/office/drawing/2014/main" id="{0E4E4D2A-D198-408C-868F-2B9784FCA22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983578" y="0"/>
          <a:ext cx="722586" cy="722586"/>
        </a:xfrm>
        <a:prstGeom prst="rect">
          <a:avLst/>
        </a:prstGeom>
      </xdr:spPr>
    </xdr:pic>
    <xdr:clientData/>
  </xdr:twoCellAnchor>
  <xdr:twoCellAnchor>
    <xdr:from>
      <xdr:col>4</xdr:col>
      <xdr:colOff>136759</xdr:colOff>
      <xdr:row>30</xdr:row>
      <xdr:rowOff>150394</xdr:rowOff>
    </xdr:from>
    <xdr:to>
      <xdr:col>10</xdr:col>
      <xdr:colOff>334879</xdr:colOff>
      <xdr:row>45</xdr:row>
      <xdr:rowOff>70185</xdr:rowOff>
    </xdr:to>
    <xdr:grpSp>
      <xdr:nvGrpSpPr>
        <xdr:cNvPr id="82" name="Group 81">
          <a:extLst>
            <a:ext uri="{FF2B5EF4-FFF2-40B4-BE49-F238E27FC236}">
              <a16:creationId xmlns:a16="http://schemas.microsoft.com/office/drawing/2014/main" id="{CBDB9F1C-FD3E-7BB4-D439-2BE2484EAB26}"/>
            </a:ext>
          </a:extLst>
        </xdr:cNvPr>
        <xdr:cNvGrpSpPr/>
      </xdr:nvGrpSpPr>
      <xdr:grpSpPr>
        <a:xfrm>
          <a:off x="2590993" y="5494290"/>
          <a:ext cx="3879470" cy="2591739"/>
          <a:chOff x="2596548" y="5765131"/>
          <a:chExt cx="3887805" cy="2727159"/>
        </a:xfrm>
      </xdr:grpSpPr>
      <xdr:grpSp>
        <xdr:nvGrpSpPr>
          <xdr:cNvPr id="19" name="Group 18">
            <a:extLst>
              <a:ext uri="{FF2B5EF4-FFF2-40B4-BE49-F238E27FC236}">
                <a16:creationId xmlns:a16="http://schemas.microsoft.com/office/drawing/2014/main" id="{E0F0A770-D119-4135-A9BB-FD824AC83F75}"/>
              </a:ext>
            </a:extLst>
          </xdr:cNvPr>
          <xdr:cNvGrpSpPr/>
        </xdr:nvGrpSpPr>
        <xdr:grpSpPr>
          <a:xfrm>
            <a:off x="2596548" y="5765131"/>
            <a:ext cx="3887805" cy="2727159"/>
            <a:chOff x="2583180" y="5564605"/>
            <a:chExt cx="3867752" cy="2626896"/>
          </a:xfrm>
        </xdr:grpSpPr>
        <xdr:sp macro="" textlink="">
          <xdr:nvSpPr>
            <xdr:cNvPr id="20" name="Rectangle: Rounded Corners 19">
              <a:extLst>
                <a:ext uri="{FF2B5EF4-FFF2-40B4-BE49-F238E27FC236}">
                  <a16:creationId xmlns:a16="http://schemas.microsoft.com/office/drawing/2014/main" id="{C9008A9E-078E-74C5-D8B3-C67E9EFD8755}"/>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tsle="http://schemas.microsoft.com/office/drawing/2012/timeslicer">
          <mc:Choice Requires="tsle">
            <xdr:graphicFrame macro="">
              <xdr:nvGraphicFramePr>
                <xdr:cNvPr id="21" name="Date 6">
                  <a:extLst>
                    <a:ext uri="{FF2B5EF4-FFF2-40B4-BE49-F238E27FC236}">
                      <a16:creationId xmlns:a16="http://schemas.microsoft.com/office/drawing/2014/main" id="{E272F30B-F02D-BDAF-5274-1FE183F424F2}"/>
                    </a:ext>
                  </a:extLst>
                </xdr:cNvPr>
                <xdr:cNvGraphicFramePr/>
              </xdr:nvGraphicFramePr>
              <xdr:xfrm>
                <a:off x="2687054" y="5564605"/>
                <a:ext cx="3559342" cy="842211"/>
              </xdr:xfrm>
              <a:graphic>
                <a:graphicData uri="http://schemas.microsoft.com/office/drawing/2012/timeslicer">
                  <tsle:timeslicer name="Date 6"/>
                </a:graphicData>
              </a:graphic>
            </xdr:graphicFrame>
          </mc:Choice>
          <mc:Fallback xmlns="">
            <xdr:sp macro="" textlink="">
              <xdr:nvSpPr>
                <xdr:cNvPr id="0" name=""/>
                <xdr:cNvSpPr>
                  <a:spLocks noTextEdit="1"/>
                </xdr:cNvSpPr>
              </xdr:nvSpPr>
              <xdr:spPr>
                <a:xfrm>
                  <a:off x="2695182" y="5494290"/>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22" name="Date 7">
                  <a:extLst>
                    <a:ext uri="{FF2B5EF4-FFF2-40B4-BE49-F238E27FC236}">
                      <a16:creationId xmlns:a16="http://schemas.microsoft.com/office/drawing/2014/main" id="{9427FA06-A6CD-9D31-1355-F7E64389DD89}"/>
                    </a:ext>
                  </a:extLst>
                </xdr:cNvPr>
                <xdr:cNvGraphicFramePr/>
              </xdr:nvGraphicFramePr>
              <xdr:xfrm>
                <a:off x="2677028" y="6414321"/>
                <a:ext cx="3589420" cy="1676916"/>
              </xdr:xfrm>
              <a:graphic>
                <a:graphicData uri="http://schemas.microsoft.com/office/drawing/2010/slicer">
                  <sle:slicer xmlns:sle="http://schemas.microsoft.com/office/drawing/2010/slicer" name="Date 7"/>
                </a:graphicData>
              </a:graphic>
            </xdr:graphicFrame>
          </mc:Choice>
          <mc:Fallback xmlns="">
            <xdr:sp macro="" textlink="">
              <xdr:nvSpPr>
                <xdr:cNvPr id="0" name=""/>
                <xdr:cNvSpPr>
                  <a:spLocks noTextEdit="1"/>
                </xdr:cNvSpPr>
              </xdr:nvSpPr>
              <xdr:spPr>
                <a:xfrm>
                  <a:off x="2685125" y="6332634"/>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81" name="TextBox 80">
            <a:extLst>
              <a:ext uri="{FF2B5EF4-FFF2-40B4-BE49-F238E27FC236}">
                <a16:creationId xmlns:a16="http://schemas.microsoft.com/office/drawing/2014/main" id="{B7F81A0B-8E76-4553-92D2-A0793BAD9779}"/>
              </a:ext>
            </a:extLst>
          </xdr:cNvPr>
          <xdr:cNvSpPr txBox="1"/>
        </xdr:nvSpPr>
        <xdr:spPr>
          <a:xfrm>
            <a:off x="3609474" y="5855368"/>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441157</xdr:colOff>
      <xdr:row>0</xdr:row>
      <xdr:rowOff>0</xdr:rowOff>
    </xdr:from>
    <xdr:to>
      <xdr:col>16</xdr:col>
      <xdr:colOff>587071</xdr:colOff>
      <xdr:row>4</xdr:row>
      <xdr:rowOff>12230</xdr:rowOff>
    </xdr:to>
    <xdr:pic>
      <xdr:nvPicPr>
        <xdr:cNvPr id="83" name="Picture 82">
          <a:extLst>
            <a:ext uri="{FF2B5EF4-FFF2-40B4-BE49-F238E27FC236}">
              <a16:creationId xmlns:a16="http://schemas.microsoft.com/office/drawing/2014/main" id="{0E65FFC7-E049-4D13-9C93-236EE67B756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665368" y="0"/>
          <a:ext cx="760861" cy="760862"/>
        </a:xfrm>
        <a:prstGeom prst="rect">
          <a:avLst/>
        </a:prstGeom>
      </xdr:spPr>
    </xdr:pic>
    <xdr:clientData/>
  </xdr:twoCellAnchor>
  <xdr:twoCellAnchor editAs="oneCell">
    <xdr:from>
      <xdr:col>4</xdr:col>
      <xdr:colOff>294106</xdr:colOff>
      <xdr:row>4</xdr:row>
      <xdr:rowOff>120315</xdr:rowOff>
    </xdr:from>
    <xdr:to>
      <xdr:col>4</xdr:col>
      <xdr:colOff>567988</xdr:colOff>
      <xdr:row>8</xdr:row>
      <xdr:rowOff>133684</xdr:rowOff>
    </xdr:to>
    <xdr:pic>
      <xdr:nvPicPr>
        <xdr:cNvPr id="84" name="Picture 83">
          <a:extLst>
            <a:ext uri="{FF2B5EF4-FFF2-40B4-BE49-F238E27FC236}">
              <a16:creationId xmlns:a16="http://schemas.microsoft.com/office/drawing/2014/main" id="{B4230A0B-CBA1-429A-B904-18A8A42B2FD3}"/>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54153" r="9904"/>
        <a:stretch>
          <a:fillRect/>
        </a:stretch>
      </xdr:blipFill>
      <xdr:spPr>
        <a:xfrm>
          <a:off x="2753895" y="868947"/>
          <a:ext cx="273882" cy="762000"/>
        </a:xfrm>
        <a:prstGeom prst="rect">
          <a:avLst/>
        </a:prstGeom>
      </xdr:spPr>
    </xdr:pic>
    <xdr:clientData/>
  </xdr:twoCellAnchor>
  <xdr:twoCellAnchor editAs="oneCell">
    <xdr:from>
      <xdr:col>6</xdr:col>
      <xdr:colOff>586044</xdr:colOff>
      <xdr:row>4</xdr:row>
      <xdr:rowOff>139894</xdr:rowOff>
    </xdr:from>
    <xdr:to>
      <xdr:col>7</xdr:col>
      <xdr:colOff>313994</xdr:colOff>
      <xdr:row>8</xdr:row>
      <xdr:rowOff>126765</xdr:rowOff>
    </xdr:to>
    <xdr:pic>
      <xdr:nvPicPr>
        <xdr:cNvPr id="85" name="Picture 84">
          <a:extLst>
            <a:ext uri="{FF2B5EF4-FFF2-40B4-BE49-F238E27FC236}">
              <a16:creationId xmlns:a16="http://schemas.microsoft.com/office/drawing/2014/main" id="{A2C519D8-B925-4B8C-B76D-43D7266A9BFC}"/>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r="53379"/>
        <a:stretch>
          <a:fillRect/>
        </a:stretch>
      </xdr:blipFill>
      <xdr:spPr>
        <a:xfrm>
          <a:off x="4275728" y="888526"/>
          <a:ext cx="342898" cy="735502"/>
        </a:xfrm>
        <a:prstGeom prst="rect">
          <a:avLst/>
        </a:prstGeom>
      </xdr:spPr>
    </xdr:pic>
    <xdr:clientData/>
  </xdr:twoCellAnchor>
  <xdr:twoCellAnchor editAs="oneCell">
    <xdr:from>
      <xdr:col>12</xdr:col>
      <xdr:colOff>158038</xdr:colOff>
      <xdr:row>5</xdr:row>
      <xdr:rowOff>80212</xdr:rowOff>
    </xdr:from>
    <xdr:to>
      <xdr:col>12</xdr:col>
      <xdr:colOff>414422</xdr:colOff>
      <xdr:row>8</xdr:row>
      <xdr:rowOff>65257</xdr:rowOff>
    </xdr:to>
    <xdr:pic>
      <xdr:nvPicPr>
        <xdr:cNvPr id="86" name="Picture 85">
          <a:extLst>
            <a:ext uri="{FF2B5EF4-FFF2-40B4-BE49-F238E27FC236}">
              <a16:creationId xmlns:a16="http://schemas.microsoft.com/office/drawing/2014/main" id="{F5E26C34-75D7-42D6-935C-AD19D2328BFE}"/>
            </a:ext>
          </a:extLst>
        </xdr:cNvPr>
        <xdr:cNvPicPr>
          <a:picLocks noChangeAspect="1"/>
        </xdr:cNvPicPr>
      </xdr:nvPicPr>
      <xdr:blipFill>
        <a:blip xmlns:r="http://schemas.openxmlformats.org/officeDocument/2006/relationships" r:embed="rId13" cstate="print">
          <a:biLevel thresh="75000"/>
          <a:extLst>
            <a:ext uri="{28A0092B-C50C-407E-A947-70E740481C1C}">
              <a14:useLocalDpi xmlns:a14="http://schemas.microsoft.com/office/drawing/2010/main" val="0"/>
            </a:ext>
          </a:extLst>
        </a:blip>
        <a:stretch>
          <a:fillRect/>
        </a:stretch>
      </xdr:blipFill>
      <xdr:spPr>
        <a:xfrm>
          <a:off x="7537406" y="1016001"/>
          <a:ext cx="256384" cy="546519"/>
        </a:xfrm>
        <a:prstGeom prst="rect">
          <a:avLst/>
        </a:prstGeom>
      </xdr:spPr>
    </xdr:pic>
    <xdr:clientData/>
  </xdr:twoCellAnchor>
  <xdr:twoCellAnchor editAs="oneCell">
    <xdr:from>
      <xdr:col>9</xdr:col>
      <xdr:colOff>359706</xdr:colOff>
      <xdr:row>5</xdr:row>
      <xdr:rowOff>118076</xdr:rowOff>
    </xdr:from>
    <xdr:to>
      <xdr:col>10</xdr:col>
      <xdr:colOff>64212</xdr:colOff>
      <xdr:row>8</xdr:row>
      <xdr:rowOff>90002</xdr:rowOff>
    </xdr:to>
    <xdr:pic>
      <xdr:nvPicPr>
        <xdr:cNvPr id="87" name="Picture 86">
          <a:extLst>
            <a:ext uri="{FF2B5EF4-FFF2-40B4-BE49-F238E27FC236}">
              <a16:creationId xmlns:a16="http://schemas.microsoft.com/office/drawing/2014/main" id="{CC68C02F-06DC-4D7E-9C59-9CC5C9F4B2C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894232" y="1053865"/>
          <a:ext cx="319454" cy="533400"/>
        </a:xfrm>
        <a:prstGeom prst="rect">
          <a:avLst/>
        </a:prstGeom>
      </xdr:spPr>
    </xdr:pic>
    <xdr:clientData/>
  </xdr:twoCellAnchor>
  <xdr:twoCellAnchor editAs="oneCell">
    <xdr:from>
      <xdr:col>14</xdr:col>
      <xdr:colOff>479740</xdr:colOff>
      <xdr:row>5</xdr:row>
      <xdr:rowOff>125528</xdr:rowOff>
    </xdr:from>
    <xdr:to>
      <xdr:col>15</xdr:col>
      <xdr:colOff>152821</xdr:colOff>
      <xdr:row>7</xdr:row>
      <xdr:rowOff>178594</xdr:rowOff>
    </xdr:to>
    <xdr:pic>
      <xdr:nvPicPr>
        <xdr:cNvPr id="88" name="Picture 87" descr="Cloud Generic color fill icon">
          <a:extLst>
            <a:ext uri="{FF2B5EF4-FFF2-40B4-BE49-F238E27FC236}">
              <a16:creationId xmlns:a16="http://schemas.microsoft.com/office/drawing/2014/main" id="{967B0180-76A1-4C72-862B-E6BAB5F8531B}"/>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9089003" y="1061317"/>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353327</xdr:colOff>
      <xdr:row>10</xdr:row>
      <xdr:rowOff>73525</xdr:rowOff>
    </xdr:from>
    <xdr:to>
      <xdr:col>8</xdr:col>
      <xdr:colOff>98446</xdr:colOff>
      <xdr:row>12</xdr:row>
      <xdr:rowOff>71044</xdr:rowOff>
    </xdr:to>
    <xdr:pic>
      <xdr:nvPicPr>
        <xdr:cNvPr id="89" name="Picture 88" descr="UV radiation icon solar ultraviolet light symbol for graphic design ...">
          <a:extLst>
            <a:ext uri="{FF2B5EF4-FFF2-40B4-BE49-F238E27FC236}">
              <a16:creationId xmlns:a16="http://schemas.microsoft.com/office/drawing/2014/main" id="{0F9688F3-7000-4C2D-8B59-EFF9764A07CB}"/>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657959" y="1945104"/>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227264</xdr:colOff>
      <xdr:row>10</xdr:row>
      <xdr:rowOff>53474</xdr:rowOff>
    </xdr:from>
    <xdr:to>
      <xdr:col>4</xdr:col>
      <xdr:colOff>593323</xdr:colOff>
      <xdr:row>12</xdr:row>
      <xdr:rowOff>15334</xdr:rowOff>
    </xdr:to>
    <xdr:pic>
      <xdr:nvPicPr>
        <xdr:cNvPr id="90" name="Picture 89">
          <a:extLst>
            <a:ext uri="{FF2B5EF4-FFF2-40B4-BE49-F238E27FC236}">
              <a16:creationId xmlns:a16="http://schemas.microsoft.com/office/drawing/2014/main" id="{3DC76983-E3CB-47B2-86A8-C147FE8569D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687053" y="1925053"/>
          <a:ext cx="366059" cy="336176"/>
        </a:xfrm>
        <a:prstGeom prst="rect">
          <a:avLst/>
        </a:prstGeom>
      </xdr:spPr>
    </xdr:pic>
    <xdr:clientData/>
  </xdr:twoCellAnchor>
  <xdr:twoCellAnchor editAs="oneCell">
    <xdr:from>
      <xdr:col>10</xdr:col>
      <xdr:colOff>439554</xdr:colOff>
      <xdr:row>10</xdr:row>
      <xdr:rowOff>50131</xdr:rowOff>
    </xdr:from>
    <xdr:to>
      <xdr:col>11</xdr:col>
      <xdr:colOff>366311</xdr:colOff>
      <xdr:row>12</xdr:row>
      <xdr:rowOff>44572</xdr:rowOff>
    </xdr:to>
    <xdr:pic>
      <xdr:nvPicPr>
        <xdr:cNvPr id="91" name="Picture 90" descr="Sun rise logo Royalty Free Vector Image - VectorStock">
          <a:extLst>
            <a:ext uri="{FF2B5EF4-FFF2-40B4-BE49-F238E27FC236}">
              <a16:creationId xmlns:a16="http://schemas.microsoft.com/office/drawing/2014/main" id="{5D823DBF-D872-4B60-8A84-84D3D8CB35FE}"/>
            </a:ext>
          </a:extLst>
        </xdr:cNvPr>
        <xdr:cNvPicPr>
          <a:picLocks noChangeAspect="1" noChangeArrowheads="1"/>
        </xdr:cNvPicPr>
      </xdr:nvPicPr>
      <xdr:blipFill rotWithShape="1">
        <a:blip xmlns:r="http://schemas.openxmlformats.org/officeDocument/2006/relationships" r:embed="rId18"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89028" y="1921710"/>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21523</xdr:colOff>
      <xdr:row>10</xdr:row>
      <xdr:rowOff>70184</xdr:rowOff>
    </xdr:from>
    <xdr:to>
      <xdr:col>14</xdr:col>
      <xdr:colOff>468213</xdr:colOff>
      <xdr:row>12</xdr:row>
      <xdr:rowOff>63730</xdr:rowOff>
    </xdr:to>
    <xdr:pic>
      <xdr:nvPicPr>
        <xdr:cNvPr id="92" name="Picture 91" descr="Sun Vector illustration Icon 9967049 Vector Art at Vecteezy">
          <a:extLst>
            <a:ext uri="{FF2B5EF4-FFF2-40B4-BE49-F238E27FC236}">
              <a16:creationId xmlns:a16="http://schemas.microsoft.com/office/drawing/2014/main" id="{3A0F5B9A-A75E-4D42-A652-AACC2966AE87}"/>
            </a:ext>
          </a:extLst>
        </xdr:cNvPr>
        <xdr:cNvPicPr>
          <a:picLocks noChangeAspect="1" noChangeArrowheads="1"/>
        </xdr:cNvPicPr>
      </xdr:nvPicPr>
      <xdr:blipFill rotWithShape="1">
        <a:blip xmlns:r="http://schemas.openxmlformats.org/officeDocument/2006/relationships" r:embed="rId19"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630786" y="1941763"/>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3</xdr:col>
      <xdr:colOff>540089</xdr:colOff>
      <xdr:row>44</xdr:row>
      <xdr:rowOff>121222</xdr:rowOff>
    </xdr:to>
    <xdr:grpSp>
      <xdr:nvGrpSpPr>
        <xdr:cNvPr id="93" name="Group 92">
          <a:extLst>
            <a:ext uri="{FF2B5EF4-FFF2-40B4-BE49-F238E27FC236}">
              <a16:creationId xmlns:a16="http://schemas.microsoft.com/office/drawing/2014/main" id="{DD53775A-CDFF-4391-8F6A-B05D575C51A0}"/>
            </a:ext>
          </a:extLst>
        </xdr:cNvPr>
        <xdr:cNvGrpSpPr/>
      </xdr:nvGrpSpPr>
      <xdr:grpSpPr>
        <a:xfrm>
          <a:off x="0" y="0"/>
          <a:ext cx="2380764" cy="7958936"/>
          <a:chOff x="0" y="0"/>
          <a:chExt cx="2392680" cy="6393180"/>
        </a:xfrm>
        <a:gradFill>
          <a:gsLst>
            <a:gs pos="0">
              <a:srgbClr val="2E4557"/>
            </a:gs>
            <a:gs pos="49000">
              <a:srgbClr val="4F6D7A"/>
            </a:gs>
            <a:gs pos="100000">
              <a:srgbClr val="6A89A0"/>
            </a:gs>
          </a:gsLst>
          <a:lin ang="5400000" scaled="1"/>
        </a:gradFill>
      </xdr:grpSpPr>
      <xdr:sp macro="" textlink="">
        <xdr:nvSpPr>
          <xdr:cNvPr id="94" name="Rectangle: Rounded Corners 93">
            <a:extLst>
              <a:ext uri="{FF2B5EF4-FFF2-40B4-BE49-F238E27FC236}">
                <a16:creationId xmlns:a16="http://schemas.microsoft.com/office/drawing/2014/main" id="{A9B59036-301C-157D-A539-583B4BFC50B9}"/>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Rectangle: Rounded Corners 94">
            <a:extLst>
              <a:ext uri="{FF2B5EF4-FFF2-40B4-BE49-F238E27FC236}">
                <a16:creationId xmlns:a16="http://schemas.microsoft.com/office/drawing/2014/main" id="{C3C6D372-FEDD-A3C9-AE68-2183658DC948}"/>
              </a:ext>
            </a:extLst>
          </xdr:cNvPr>
          <xdr:cNvSpPr/>
        </xdr:nvSpPr>
        <xdr:spPr>
          <a:xfrm>
            <a:off x="0" y="0"/>
            <a:ext cx="2194560" cy="6385560"/>
          </a:xfrm>
          <a:prstGeom prst="roundRect">
            <a:avLst>
              <a:gd name="adj"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0</xdr:col>
      <xdr:colOff>0</xdr:colOff>
      <xdr:row>5</xdr:row>
      <xdr:rowOff>110824</xdr:rowOff>
    </xdr:from>
    <xdr:to>
      <xdr:col>3</xdr:col>
      <xdr:colOff>56419</xdr:colOff>
      <xdr:row>8</xdr:row>
      <xdr:rowOff>81764</xdr:rowOff>
    </xdr:to>
    <xdr:sp macro="" textlink="">
      <xdr:nvSpPr>
        <xdr:cNvPr id="99" name="TextBox 98">
          <a:hlinkClick xmlns:r="http://schemas.openxmlformats.org/officeDocument/2006/relationships" r:id="rId20"/>
          <a:extLst>
            <a:ext uri="{FF2B5EF4-FFF2-40B4-BE49-F238E27FC236}">
              <a16:creationId xmlns:a16="http://schemas.microsoft.com/office/drawing/2014/main" id="{22D6FD88-A713-4801-8730-7575FD1B3D2F}"/>
            </a:ext>
          </a:extLst>
        </xdr:cNvPr>
        <xdr:cNvSpPr txBox="1"/>
      </xdr:nvSpPr>
      <xdr:spPr>
        <a:xfrm>
          <a:off x="0" y="1046613"/>
          <a:ext cx="1901261" cy="53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227715</xdr:colOff>
      <xdr:row>2</xdr:row>
      <xdr:rowOff>144845</xdr:rowOff>
    </xdr:from>
    <xdr:to>
      <xdr:col>3</xdr:col>
      <xdr:colOff>294160</xdr:colOff>
      <xdr:row>5</xdr:row>
      <xdr:rowOff>115787</xdr:rowOff>
    </xdr:to>
    <xdr:sp macro="" textlink="">
      <xdr:nvSpPr>
        <xdr:cNvPr id="100" name="TextBox 99">
          <a:hlinkClick xmlns:r="http://schemas.openxmlformats.org/officeDocument/2006/relationships" r:id="rId21"/>
          <a:extLst>
            <a:ext uri="{FF2B5EF4-FFF2-40B4-BE49-F238E27FC236}">
              <a16:creationId xmlns:a16="http://schemas.microsoft.com/office/drawing/2014/main" id="{9034DB0B-5E01-4DCE-B9C9-362738B2C36D}"/>
            </a:ext>
          </a:extLst>
        </xdr:cNvPr>
        <xdr:cNvSpPr txBox="1"/>
      </xdr:nvSpPr>
      <xdr:spPr>
        <a:xfrm>
          <a:off x="227715" y="519161"/>
          <a:ext cx="1911287" cy="53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0</xdr:col>
      <xdr:colOff>225949</xdr:colOff>
      <xdr:row>8</xdr:row>
      <xdr:rowOff>119455</xdr:rowOff>
    </xdr:from>
    <xdr:to>
      <xdr:col>3</xdr:col>
      <xdr:colOff>408709</xdr:colOff>
      <xdr:row>11</xdr:row>
      <xdr:rowOff>27709</xdr:rowOff>
    </xdr:to>
    <xdr:sp macro="" textlink="">
      <xdr:nvSpPr>
        <xdr:cNvPr id="101" name="TextBox 100">
          <a:hlinkClick xmlns:r="http://schemas.openxmlformats.org/officeDocument/2006/relationships" r:id="rId22"/>
          <a:extLst>
            <a:ext uri="{FF2B5EF4-FFF2-40B4-BE49-F238E27FC236}">
              <a16:creationId xmlns:a16="http://schemas.microsoft.com/office/drawing/2014/main" id="{014C427E-7608-4CC0-9A59-580B144566A2}"/>
            </a:ext>
          </a:extLst>
        </xdr:cNvPr>
        <xdr:cNvSpPr txBox="1"/>
      </xdr:nvSpPr>
      <xdr:spPr>
        <a:xfrm>
          <a:off x="225949" y="1560328"/>
          <a:ext cx="2011560" cy="448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0</xdr:colOff>
      <xdr:row>14</xdr:row>
      <xdr:rowOff>41990</xdr:rowOff>
    </xdr:from>
    <xdr:to>
      <xdr:col>2</xdr:col>
      <xdr:colOff>484909</xdr:colOff>
      <xdr:row>17</xdr:row>
      <xdr:rowOff>12929</xdr:rowOff>
    </xdr:to>
    <xdr:sp macro="" textlink="">
      <xdr:nvSpPr>
        <xdr:cNvPr id="102" name="TextBox 101">
          <a:hlinkClick xmlns:r="http://schemas.openxmlformats.org/officeDocument/2006/relationships" r:id="rId23"/>
          <a:extLst>
            <a:ext uri="{FF2B5EF4-FFF2-40B4-BE49-F238E27FC236}">
              <a16:creationId xmlns:a16="http://schemas.microsoft.com/office/drawing/2014/main" id="{C2101ADA-9D65-43B6-915B-ECFCEC32A6E1}"/>
            </a:ext>
          </a:extLst>
        </xdr:cNvPr>
        <xdr:cNvSpPr txBox="1"/>
      </xdr:nvSpPr>
      <xdr:spPr>
        <a:xfrm>
          <a:off x="0" y="2563517"/>
          <a:ext cx="1704109" cy="511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TRICHY</a:t>
          </a:r>
        </a:p>
      </xdr:txBody>
    </xdr:sp>
    <xdr:clientData/>
  </xdr:twoCellAnchor>
  <xdr:twoCellAnchor>
    <xdr:from>
      <xdr:col>0</xdr:col>
      <xdr:colOff>56142</xdr:colOff>
      <xdr:row>11</xdr:row>
      <xdr:rowOff>82976</xdr:rowOff>
    </xdr:from>
    <xdr:to>
      <xdr:col>3</xdr:col>
      <xdr:colOff>421342</xdr:colOff>
      <xdr:row>14</xdr:row>
      <xdr:rowOff>46415</xdr:rowOff>
    </xdr:to>
    <xdr:grpSp>
      <xdr:nvGrpSpPr>
        <xdr:cNvPr id="106" name="Group 105">
          <a:hlinkClick xmlns:r="http://schemas.openxmlformats.org/officeDocument/2006/relationships" r:id="rId24"/>
          <a:extLst>
            <a:ext uri="{FF2B5EF4-FFF2-40B4-BE49-F238E27FC236}">
              <a16:creationId xmlns:a16="http://schemas.microsoft.com/office/drawing/2014/main" id="{88EA21C9-70F4-79E7-E588-001074837854}"/>
            </a:ext>
          </a:extLst>
        </xdr:cNvPr>
        <xdr:cNvGrpSpPr/>
      </xdr:nvGrpSpPr>
      <xdr:grpSpPr>
        <a:xfrm>
          <a:off x="56142" y="2042405"/>
          <a:ext cx="2205875" cy="497828"/>
          <a:chOff x="22314" y="2774961"/>
          <a:chExt cx="2209815" cy="532413"/>
        </a:xfrm>
      </xdr:grpSpPr>
      <xdr:sp macro="" textlink="">
        <xdr:nvSpPr>
          <xdr:cNvPr id="104" name="Rectangle: Rounded Corners 103">
            <a:hlinkClick xmlns:r="http://schemas.openxmlformats.org/officeDocument/2006/relationships" r:id="rId23"/>
            <a:extLst>
              <a:ext uri="{FF2B5EF4-FFF2-40B4-BE49-F238E27FC236}">
                <a16:creationId xmlns:a16="http://schemas.microsoft.com/office/drawing/2014/main" id="{7789BDB8-53C6-7A66-0308-8764141AC8E7}"/>
              </a:ext>
            </a:extLst>
          </xdr:cNvPr>
          <xdr:cNvSpPr/>
        </xdr:nvSpPr>
        <xdr:spPr>
          <a:xfrm>
            <a:off x="29894" y="2823765"/>
            <a:ext cx="2202235" cy="462095"/>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5" name="TextBox 104">
            <a:extLst>
              <a:ext uri="{FF2B5EF4-FFF2-40B4-BE49-F238E27FC236}">
                <a16:creationId xmlns:a16="http://schemas.microsoft.com/office/drawing/2014/main" id="{A2CF38F0-D3B2-8003-641C-C23B84326A4D}"/>
              </a:ext>
            </a:extLst>
          </xdr:cNvPr>
          <xdr:cNvSpPr txBox="1"/>
        </xdr:nvSpPr>
        <xdr:spPr>
          <a:xfrm>
            <a:off x="22314" y="2774961"/>
            <a:ext cx="1634238" cy="532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tx1"/>
                </a:solidFill>
                <a:latin typeface="Source Sans Pro" panose="020B0503030403020204" pitchFamily="34" charset="0"/>
                <a:ea typeface="Source Sans Pro" panose="020B0503030403020204" pitchFamily="34" charset="0"/>
                <a:cs typeface="+mn-cs"/>
              </a:rPr>
              <a:t>  MADURAI</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10026</xdr:colOff>
      <xdr:row>0</xdr:row>
      <xdr:rowOff>0</xdr:rowOff>
    </xdr:from>
    <xdr:to>
      <xdr:col>17</xdr:col>
      <xdr:colOff>320843</xdr:colOff>
      <xdr:row>46</xdr:row>
      <xdr:rowOff>30079</xdr:rowOff>
    </xdr:to>
    <xdr:sp macro="" textlink="">
      <xdr:nvSpPr>
        <xdr:cNvPr id="2" name="Rectangle: Rounded Corners 1">
          <a:extLst>
            <a:ext uri="{FF2B5EF4-FFF2-40B4-BE49-F238E27FC236}">
              <a16:creationId xmlns:a16="http://schemas.microsoft.com/office/drawing/2014/main" id="{E3045566-7CAA-44B1-ABE0-40ECEE6E216C}"/>
            </a:ext>
          </a:extLst>
        </xdr:cNvPr>
        <xdr:cNvSpPr/>
      </xdr:nvSpPr>
      <xdr:spPr>
        <a:xfrm>
          <a:off x="2448426" y="0"/>
          <a:ext cx="8235617" cy="8442559"/>
        </a:xfrm>
        <a:prstGeom prst="roundRect">
          <a:avLst>
            <a:gd name="adj" fmla="val 162"/>
          </a:avLst>
        </a:prstGeom>
        <a:solidFill>
          <a:srgbClr val="F4F7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3</xdr:col>
      <xdr:colOff>563880</xdr:colOff>
      <xdr:row>46</xdr:row>
      <xdr:rowOff>38745</xdr:rowOff>
    </xdr:to>
    <xdr:grpSp>
      <xdr:nvGrpSpPr>
        <xdr:cNvPr id="3" name="Group 2">
          <a:extLst>
            <a:ext uri="{FF2B5EF4-FFF2-40B4-BE49-F238E27FC236}">
              <a16:creationId xmlns:a16="http://schemas.microsoft.com/office/drawing/2014/main" id="{944241EB-A52A-41A3-90B6-AADA197C260E}"/>
            </a:ext>
          </a:extLst>
        </xdr:cNvPr>
        <xdr:cNvGrpSpPr/>
      </xdr:nvGrpSpPr>
      <xdr:grpSpPr>
        <a:xfrm>
          <a:off x="0" y="0"/>
          <a:ext cx="2404555" cy="8232719"/>
          <a:chOff x="0" y="0"/>
          <a:chExt cx="2392680" cy="6393180"/>
        </a:xfrm>
        <a:gradFill>
          <a:gsLst>
            <a:gs pos="0">
              <a:srgbClr val="2E4557"/>
            </a:gs>
            <a:gs pos="49000">
              <a:srgbClr val="4F6D7A"/>
            </a:gs>
            <a:gs pos="100000">
              <a:srgbClr val="6A89A0"/>
            </a:gs>
          </a:gsLst>
          <a:lin ang="5400000" scaled="1"/>
        </a:gradFill>
      </xdr:grpSpPr>
      <xdr:sp macro="" textlink="">
        <xdr:nvSpPr>
          <xdr:cNvPr id="4" name="Rectangle: Rounded Corners 3">
            <a:extLst>
              <a:ext uri="{FF2B5EF4-FFF2-40B4-BE49-F238E27FC236}">
                <a16:creationId xmlns:a16="http://schemas.microsoft.com/office/drawing/2014/main" id="{73264120-9BD0-F57E-E308-60399BE33954}"/>
              </a:ext>
            </a:extLst>
          </xdr:cNvPr>
          <xdr:cNvSpPr/>
        </xdr:nvSpPr>
        <xdr:spPr>
          <a:xfrm>
            <a:off x="2057400" y="7620"/>
            <a:ext cx="335280" cy="6385560"/>
          </a:xfrm>
          <a:prstGeom prst="roundRect">
            <a:avLst>
              <a:gd name="adj" fmla="val 0"/>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3299B2E6-50D1-F58E-FBEC-6D109BA7C82C}"/>
              </a:ext>
            </a:extLst>
          </xdr:cNvPr>
          <xdr:cNvSpPr/>
        </xdr:nvSpPr>
        <xdr:spPr>
          <a:xfrm>
            <a:off x="0" y="0"/>
            <a:ext cx="2194560" cy="6385560"/>
          </a:xfrm>
          <a:prstGeom prst="roundRect">
            <a:avLst>
              <a:gd name="adj"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5A7A94"/>
              </a:solidFill>
            </a:endParaRPr>
          </a:p>
        </xdr:txBody>
      </xdr:sp>
    </xdr:grpSp>
    <xdr:clientData/>
  </xdr:twoCellAnchor>
  <xdr:twoCellAnchor>
    <xdr:from>
      <xdr:col>4</xdr:col>
      <xdr:colOff>129540</xdr:colOff>
      <xdr:row>0</xdr:row>
      <xdr:rowOff>38100</xdr:rowOff>
    </xdr:from>
    <xdr:to>
      <xdr:col>16</xdr:col>
      <xdr:colOff>606751</xdr:colOff>
      <xdr:row>3</xdr:row>
      <xdr:rowOff>160421</xdr:rowOff>
    </xdr:to>
    <xdr:sp macro="" textlink="">
      <xdr:nvSpPr>
        <xdr:cNvPr id="6" name="Rectangle: Rounded Corners 5">
          <a:extLst>
            <a:ext uri="{FF2B5EF4-FFF2-40B4-BE49-F238E27FC236}">
              <a16:creationId xmlns:a16="http://schemas.microsoft.com/office/drawing/2014/main" id="{1A1A8B1A-258C-4818-8378-4690B780CD08}"/>
            </a:ext>
          </a:extLst>
        </xdr:cNvPr>
        <xdr:cNvSpPr/>
      </xdr:nvSpPr>
      <xdr:spPr>
        <a:xfrm>
          <a:off x="2567940" y="38100"/>
          <a:ext cx="7792411" cy="67096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solidFill>
              <a:sysClr val="windowText" lastClr="000000"/>
            </a:solidFill>
            <a:latin typeface="Source Sans Pro" panose="020B0503030403020204" pitchFamily="34" charset="0"/>
            <a:ea typeface="Source Sans Pro" panose="020B0503030403020204" pitchFamily="34" charset="0"/>
          </a:endParaRPr>
        </a:p>
      </xdr:txBody>
    </xdr:sp>
    <xdr:clientData/>
  </xdr:twoCellAnchor>
  <xdr:twoCellAnchor>
    <xdr:from>
      <xdr:col>12</xdr:col>
      <xdr:colOff>88521</xdr:colOff>
      <xdr:row>4</xdr:row>
      <xdr:rowOff>155328</xdr:rowOff>
    </xdr:from>
    <xdr:to>
      <xdr:col>14</xdr:col>
      <xdr:colOff>267308</xdr:colOff>
      <xdr:row>9</xdr:row>
      <xdr:rowOff>2685</xdr:rowOff>
    </xdr:to>
    <xdr:sp macro="" textlink="DPTri!$B$25">
      <xdr:nvSpPr>
        <xdr:cNvPr id="7" name="Rectangle: Rounded Corners 6">
          <a:extLst>
            <a:ext uri="{FF2B5EF4-FFF2-40B4-BE49-F238E27FC236}">
              <a16:creationId xmlns:a16="http://schemas.microsoft.com/office/drawing/2014/main" id="{B59B7C1E-9A89-4E3A-8185-FA67C0961435}"/>
            </a:ext>
          </a:extLst>
        </xdr:cNvPr>
        <xdr:cNvSpPr/>
      </xdr:nvSpPr>
      <xdr:spPr>
        <a:xfrm>
          <a:off x="7403721" y="886848"/>
          <a:ext cx="1397987"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8685F7A-20AC-4579-8419-8F687E8F0F3E}"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22.3</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6</xdr:col>
      <xdr:colOff>564655</xdr:colOff>
      <xdr:row>4</xdr:row>
      <xdr:rowOff>130270</xdr:rowOff>
    </xdr:from>
    <xdr:to>
      <xdr:col>9</xdr:col>
      <xdr:colOff>133905</xdr:colOff>
      <xdr:row>8</xdr:row>
      <xdr:rowOff>160539</xdr:rowOff>
    </xdr:to>
    <xdr:sp macro="" textlink="DPTri!$C$4">
      <xdr:nvSpPr>
        <xdr:cNvPr id="8" name="Rectangle: Rounded Corners 7">
          <a:extLst>
            <a:ext uri="{FF2B5EF4-FFF2-40B4-BE49-F238E27FC236}">
              <a16:creationId xmlns:a16="http://schemas.microsoft.com/office/drawing/2014/main" id="{90B78E6F-E81B-4387-B701-3693CDDFD428}"/>
            </a:ext>
          </a:extLst>
        </xdr:cNvPr>
        <xdr:cNvSpPr/>
      </xdr:nvSpPr>
      <xdr:spPr>
        <a:xfrm>
          <a:off x="4222255" y="861790"/>
          <a:ext cx="1398050"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69DB5C7-6341-488D-BAD4-AD1CF8C465C5}"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36.0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4</xdr:col>
      <xdr:colOff>192150</xdr:colOff>
      <xdr:row>4</xdr:row>
      <xdr:rowOff>120788</xdr:rowOff>
    </xdr:from>
    <xdr:to>
      <xdr:col>6</xdr:col>
      <xdr:colOff>370938</xdr:colOff>
      <xdr:row>8</xdr:row>
      <xdr:rowOff>151057</xdr:rowOff>
    </xdr:to>
    <xdr:sp macro="" textlink="DPTri!$B$4">
      <xdr:nvSpPr>
        <xdr:cNvPr id="9" name="Rectangle: Rounded Corners 8">
          <a:extLst>
            <a:ext uri="{FF2B5EF4-FFF2-40B4-BE49-F238E27FC236}">
              <a16:creationId xmlns:a16="http://schemas.microsoft.com/office/drawing/2014/main" id="{26D0682F-41B3-4D35-A27E-442FD341E76D}"/>
            </a:ext>
          </a:extLst>
        </xdr:cNvPr>
        <xdr:cNvSpPr/>
      </xdr:nvSpPr>
      <xdr:spPr>
        <a:xfrm>
          <a:off x="2630550" y="852308"/>
          <a:ext cx="1397988" cy="761789"/>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9947804-4C59-4899-B0F7-3086EFF64DBF}"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25.0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14</xdr:col>
      <xdr:colOff>461024</xdr:colOff>
      <xdr:row>4</xdr:row>
      <xdr:rowOff>156007</xdr:rowOff>
    </xdr:from>
    <xdr:to>
      <xdr:col>17</xdr:col>
      <xdr:colOff>30275</xdr:colOff>
      <xdr:row>9</xdr:row>
      <xdr:rowOff>3364</xdr:rowOff>
    </xdr:to>
    <xdr:sp macro="" textlink="DPTri!$P$4">
      <xdr:nvSpPr>
        <xdr:cNvPr id="10" name="Rectangle: Rounded Corners 9">
          <a:extLst>
            <a:ext uri="{FF2B5EF4-FFF2-40B4-BE49-F238E27FC236}">
              <a16:creationId xmlns:a16="http://schemas.microsoft.com/office/drawing/2014/main" id="{546EB441-87E1-41E2-B98F-486859FAA5DD}"/>
            </a:ext>
          </a:extLst>
        </xdr:cNvPr>
        <xdr:cNvSpPr/>
      </xdr:nvSpPr>
      <xdr:spPr>
        <a:xfrm>
          <a:off x="8995424" y="887527"/>
          <a:ext cx="1398051" cy="761757"/>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B25EF690-C198-4DA5-95AC-9BBE4CF68671}"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44.6</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9</xdr:col>
      <xdr:colOff>327622</xdr:colOff>
      <xdr:row>4</xdr:row>
      <xdr:rowOff>148555</xdr:rowOff>
    </xdr:from>
    <xdr:to>
      <xdr:col>11</xdr:col>
      <xdr:colOff>506410</xdr:colOff>
      <xdr:row>8</xdr:row>
      <xdr:rowOff>176386</xdr:rowOff>
    </xdr:to>
    <xdr:sp macro="" textlink="DPTri!$M$4">
      <xdr:nvSpPr>
        <xdr:cNvPr id="11" name="Rectangle: Rounded Corners 10">
          <a:extLst>
            <a:ext uri="{FF2B5EF4-FFF2-40B4-BE49-F238E27FC236}">
              <a16:creationId xmlns:a16="http://schemas.microsoft.com/office/drawing/2014/main" id="{C05C098A-5BE7-4833-9FCC-6B248ECB431B}"/>
            </a:ext>
          </a:extLst>
        </xdr:cNvPr>
        <xdr:cNvSpPr/>
      </xdr:nvSpPr>
      <xdr:spPr>
        <a:xfrm>
          <a:off x="5814022" y="880075"/>
          <a:ext cx="1397988" cy="759351"/>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8DEF84E-2F76-44C4-9872-0A12D5EECBCD}" type="TxLink">
            <a:rPr lang="en-US" sz="2400" b="1" i="0" u="none" strike="noStrike">
              <a:solidFill>
                <a:srgbClr val="0078D4"/>
              </a:solidFill>
              <a:latin typeface="Source Sans Pro" panose="020B0503030403020204" pitchFamily="34" charset="0"/>
              <a:ea typeface="Source Sans Pro" panose="020B0503030403020204" pitchFamily="34" charset="0"/>
              <a:cs typeface="Calibri"/>
            </a:rPr>
            <a:pPr marL="0" indent="0" algn="ctr"/>
            <a:t>100.0</a:t>
          </a:fld>
          <a:endParaRPr lang="en-IN" sz="2400" b="1" i="0" u="none" strike="noStrike">
            <a:solidFill>
              <a:srgbClr val="0078D4"/>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0</xdr:colOff>
      <xdr:row>5</xdr:row>
      <xdr:rowOff>142545</xdr:rowOff>
    </xdr:from>
    <xdr:to>
      <xdr:col>3</xdr:col>
      <xdr:colOff>80210</xdr:colOff>
      <xdr:row>8</xdr:row>
      <xdr:rowOff>132519</xdr:rowOff>
    </xdr:to>
    <xdr:sp macro="" textlink="">
      <xdr:nvSpPr>
        <xdr:cNvPr id="23" name="TextBox 22">
          <a:hlinkClick xmlns:r="http://schemas.openxmlformats.org/officeDocument/2006/relationships" r:id="rId1"/>
          <a:extLst>
            <a:ext uri="{FF2B5EF4-FFF2-40B4-BE49-F238E27FC236}">
              <a16:creationId xmlns:a16="http://schemas.microsoft.com/office/drawing/2014/main" id="{4D96C587-32CC-4FE8-A737-9EB460B004B6}"/>
            </a:ext>
          </a:extLst>
        </xdr:cNvPr>
        <xdr:cNvSpPr txBox="1"/>
      </xdr:nvSpPr>
      <xdr:spPr>
        <a:xfrm>
          <a:off x="0" y="1046613"/>
          <a:ext cx="1901261" cy="53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CHENNAI</a:t>
          </a:r>
        </a:p>
      </xdr:txBody>
    </xdr:sp>
    <xdr:clientData/>
  </xdr:twoCellAnchor>
  <xdr:twoCellAnchor>
    <xdr:from>
      <xdr:col>0</xdr:col>
      <xdr:colOff>227715</xdr:colOff>
      <xdr:row>2</xdr:row>
      <xdr:rowOff>157534</xdr:rowOff>
    </xdr:from>
    <xdr:to>
      <xdr:col>3</xdr:col>
      <xdr:colOff>317951</xdr:colOff>
      <xdr:row>5</xdr:row>
      <xdr:rowOff>147508</xdr:rowOff>
    </xdr:to>
    <xdr:sp macro="" textlink="">
      <xdr:nvSpPr>
        <xdr:cNvPr id="26" name="TextBox 25">
          <a:hlinkClick xmlns:r="http://schemas.openxmlformats.org/officeDocument/2006/relationships" r:id="rId2"/>
          <a:extLst>
            <a:ext uri="{FF2B5EF4-FFF2-40B4-BE49-F238E27FC236}">
              <a16:creationId xmlns:a16="http://schemas.microsoft.com/office/drawing/2014/main" id="{E2EDBFA0-D0F7-4979-B82E-E2846E77145C}"/>
            </a:ext>
          </a:extLst>
        </xdr:cNvPr>
        <xdr:cNvSpPr txBox="1"/>
      </xdr:nvSpPr>
      <xdr:spPr>
        <a:xfrm>
          <a:off x="227715" y="519161"/>
          <a:ext cx="1911287" cy="53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bg1"/>
              </a:solidFill>
              <a:latin typeface="Source Sans Pro" panose="020B0503030403020204" pitchFamily="34" charset="0"/>
              <a:ea typeface="Source Sans Pro" panose="020B0503030403020204" pitchFamily="34" charset="0"/>
            </a:rPr>
            <a:t>DASHBOARD</a:t>
          </a:r>
        </a:p>
      </xdr:txBody>
    </xdr:sp>
    <xdr:clientData/>
  </xdr:twoCellAnchor>
  <xdr:twoCellAnchor>
    <xdr:from>
      <xdr:col>4</xdr:col>
      <xdr:colOff>210552</xdr:colOff>
      <xdr:row>0</xdr:row>
      <xdr:rowOff>140369</xdr:rowOff>
    </xdr:from>
    <xdr:to>
      <xdr:col>15</xdr:col>
      <xdr:colOff>210551</xdr:colOff>
      <xdr:row>3</xdr:row>
      <xdr:rowOff>0</xdr:rowOff>
    </xdr:to>
    <xdr:sp macro="" textlink="">
      <xdr:nvSpPr>
        <xdr:cNvPr id="27" name="TextBox 26">
          <a:extLst>
            <a:ext uri="{FF2B5EF4-FFF2-40B4-BE49-F238E27FC236}">
              <a16:creationId xmlns:a16="http://schemas.microsoft.com/office/drawing/2014/main" id="{2F61791E-769A-4C00-AC57-F1D5C6A12CC1}"/>
            </a:ext>
          </a:extLst>
        </xdr:cNvPr>
        <xdr:cNvSpPr txBox="1"/>
      </xdr:nvSpPr>
      <xdr:spPr>
        <a:xfrm>
          <a:off x="2648952" y="140369"/>
          <a:ext cx="6705599" cy="40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Source Sans Pro" panose="020B0503030403020204" pitchFamily="34" charset="0"/>
              <a:ea typeface="Source Sans Pro" panose="020B0503030403020204" pitchFamily="34" charset="0"/>
            </a:rPr>
            <a:t>WeatherTrack: </a:t>
          </a:r>
          <a:r>
            <a:rPr lang="en-IN" sz="2400" b="1">
              <a:solidFill>
                <a:srgbClr val="0078D4"/>
              </a:solidFill>
              <a:latin typeface="Source Sans Pro" panose="020B0503030403020204" pitchFamily="34" charset="0"/>
              <a:ea typeface="Source Sans Pro" panose="020B0503030403020204" pitchFamily="34" charset="0"/>
            </a:rPr>
            <a:t>TRICHY</a:t>
          </a:r>
        </a:p>
      </xdr:txBody>
    </xdr:sp>
    <xdr:clientData/>
  </xdr:twoCellAnchor>
  <xdr:twoCellAnchor>
    <xdr:from>
      <xdr:col>4</xdr:col>
      <xdr:colOff>250657</xdr:colOff>
      <xdr:row>4</xdr:row>
      <xdr:rowOff>170447</xdr:rowOff>
    </xdr:from>
    <xdr:to>
      <xdr:col>6</xdr:col>
      <xdr:colOff>531394</xdr:colOff>
      <xdr:row>6</xdr:row>
      <xdr:rowOff>80210</xdr:rowOff>
    </xdr:to>
    <xdr:sp macro="" textlink="">
      <xdr:nvSpPr>
        <xdr:cNvPr id="28" name="TextBox 27">
          <a:extLst>
            <a:ext uri="{FF2B5EF4-FFF2-40B4-BE49-F238E27FC236}">
              <a16:creationId xmlns:a16="http://schemas.microsoft.com/office/drawing/2014/main" id="{3B276143-EA54-4B73-BC25-94AAEDE761D2}"/>
            </a:ext>
          </a:extLst>
        </xdr:cNvPr>
        <xdr:cNvSpPr txBox="1"/>
      </xdr:nvSpPr>
      <xdr:spPr>
        <a:xfrm>
          <a:off x="2689057" y="901967"/>
          <a:ext cx="149993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rPr>
            <a:t>Min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7</xdr:col>
      <xdr:colOff>23234</xdr:colOff>
      <xdr:row>4</xdr:row>
      <xdr:rowOff>180401</xdr:rowOff>
    </xdr:from>
    <xdr:to>
      <xdr:col>9</xdr:col>
      <xdr:colOff>303972</xdr:colOff>
      <xdr:row>6</xdr:row>
      <xdr:rowOff>90164</xdr:rowOff>
    </xdr:to>
    <xdr:sp macro="" textlink="">
      <xdr:nvSpPr>
        <xdr:cNvPr id="29" name="TextBox 28">
          <a:extLst>
            <a:ext uri="{FF2B5EF4-FFF2-40B4-BE49-F238E27FC236}">
              <a16:creationId xmlns:a16="http://schemas.microsoft.com/office/drawing/2014/main" id="{75FE8E5F-0E60-4FBF-B067-CE297E0EAE68}"/>
            </a:ext>
          </a:extLst>
        </xdr:cNvPr>
        <xdr:cNvSpPr txBox="1"/>
      </xdr:nvSpPr>
      <xdr:spPr>
        <a:xfrm>
          <a:off x="4290434" y="911921"/>
          <a:ext cx="1499938"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Max</a:t>
          </a:r>
          <a:r>
            <a:rPr lang="en-IN" sz="1400" b="1">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Temp</a:t>
          </a:r>
        </a:p>
      </xdr:txBody>
    </xdr:sp>
    <xdr:clientData/>
  </xdr:twoCellAnchor>
  <xdr:twoCellAnchor>
    <xdr:from>
      <xdr:col>9</xdr:col>
      <xdr:colOff>379981</xdr:colOff>
      <xdr:row>5</xdr:row>
      <xdr:rowOff>11961</xdr:rowOff>
    </xdr:from>
    <xdr:to>
      <xdr:col>12</xdr:col>
      <xdr:colOff>49113</xdr:colOff>
      <xdr:row>6</xdr:row>
      <xdr:rowOff>102197</xdr:rowOff>
    </xdr:to>
    <xdr:sp macro="" textlink="">
      <xdr:nvSpPr>
        <xdr:cNvPr id="30" name="TextBox 29">
          <a:extLst>
            <a:ext uri="{FF2B5EF4-FFF2-40B4-BE49-F238E27FC236}">
              <a16:creationId xmlns:a16="http://schemas.microsoft.com/office/drawing/2014/main" id="{1C48791C-EFF1-4453-82DD-E68E243F2EFD}"/>
            </a:ext>
          </a:extLst>
        </xdr:cNvPr>
        <xdr:cNvSpPr txBox="1"/>
      </xdr:nvSpPr>
      <xdr:spPr>
        <a:xfrm>
          <a:off x="5822838" y="919104"/>
          <a:ext cx="1483418"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Precip-Prob</a:t>
          </a:r>
        </a:p>
      </xdr:txBody>
    </xdr:sp>
    <xdr:clientData/>
  </xdr:twoCellAnchor>
  <xdr:twoCellAnchor>
    <xdr:from>
      <xdr:col>12</xdr:col>
      <xdr:colOff>128306</xdr:colOff>
      <xdr:row>5</xdr:row>
      <xdr:rowOff>14960</xdr:rowOff>
    </xdr:from>
    <xdr:to>
      <xdr:col>14</xdr:col>
      <xdr:colOff>409043</xdr:colOff>
      <xdr:row>6</xdr:row>
      <xdr:rowOff>105196</xdr:rowOff>
    </xdr:to>
    <xdr:sp macro="" textlink="">
      <xdr:nvSpPr>
        <xdr:cNvPr id="31" name="TextBox 30">
          <a:extLst>
            <a:ext uri="{FF2B5EF4-FFF2-40B4-BE49-F238E27FC236}">
              <a16:creationId xmlns:a16="http://schemas.microsoft.com/office/drawing/2014/main" id="{FFFF1669-A98A-4394-8415-8E9BE4F6C135}"/>
            </a:ext>
          </a:extLst>
        </xdr:cNvPr>
        <xdr:cNvSpPr txBox="1"/>
      </xdr:nvSpPr>
      <xdr:spPr>
        <a:xfrm>
          <a:off x="7385449" y="922103"/>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Wind</a:t>
          </a:r>
          <a:r>
            <a:rPr lang="en-IN" sz="1400" b="1" baseline="0">
              <a:solidFill>
                <a:srgbClr val="1D2B38"/>
              </a:solidFill>
              <a:latin typeface="Source Sans Pro" panose="020B0503030403020204" pitchFamily="34" charset="0"/>
              <a:ea typeface="Source Sans Pro" panose="020B0503030403020204" pitchFamily="34" charset="0"/>
            </a:rPr>
            <a:t> </a:t>
          </a:r>
          <a:r>
            <a:rPr lang="en-IN" sz="1400" b="1">
              <a:solidFill>
                <a:srgbClr val="1D2B38"/>
              </a:solidFill>
              <a:latin typeface="Source Sans Pro" panose="020B0503030403020204" pitchFamily="34" charset="0"/>
              <a:ea typeface="Source Sans Pro" panose="020B0503030403020204" pitchFamily="34" charset="0"/>
              <a:cs typeface="+mn-cs"/>
            </a:rPr>
            <a:t>Speed</a:t>
          </a:r>
        </a:p>
      </xdr:txBody>
    </xdr:sp>
    <xdr:clientData/>
  </xdr:twoCellAnchor>
  <xdr:twoCellAnchor>
    <xdr:from>
      <xdr:col>0</xdr:col>
      <xdr:colOff>225949</xdr:colOff>
      <xdr:row>8</xdr:row>
      <xdr:rowOff>170210</xdr:rowOff>
    </xdr:from>
    <xdr:to>
      <xdr:col>3</xdr:col>
      <xdr:colOff>396396</xdr:colOff>
      <xdr:row>11</xdr:row>
      <xdr:rowOff>160184</xdr:rowOff>
    </xdr:to>
    <xdr:sp macro="" textlink="">
      <xdr:nvSpPr>
        <xdr:cNvPr id="32" name="TextBox 31">
          <a:hlinkClick xmlns:r="http://schemas.openxmlformats.org/officeDocument/2006/relationships" r:id="rId3"/>
          <a:extLst>
            <a:ext uri="{FF2B5EF4-FFF2-40B4-BE49-F238E27FC236}">
              <a16:creationId xmlns:a16="http://schemas.microsoft.com/office/drawing/2014/main" id="{80071C52-59F0-4633-9427-68E0E2E7C1FF}"/>
            </a:ext>
          </a:extLst>
        </xdr:cNvPr>
        <xdr:cNvSpPr txBox="1"/>
      </xdr:nvSpPr>
      <xdr:spPr>
        <a:xfrm>
          <a:off x="225949" y="1616718"/>
          <a:ext cx="1991498" cy="53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COIMBATORE</a:t>
          </a:r>
        </a:p>
      </xdr:txBody>
    </xdr:sp>
    <xdr:clientData/>
  </xdr:twoCellAnchor>
  <xdr:twoCellAnchor>
    <xdr:from>
      <xdr:col>0</xdr:col>
      <xdr:colOff>0</xdr:colOff>
      <xdr:row>12</xdr:row>
      <xdr:rowOff>236</xdr:rowOff>
    </xdr:from>
    <xdr:to>
      <xdr:col>3</xdr:col>
      <xdr:colOff>170447</xdr:colOff>
      <xdr:row>14</xdr:row>
      <xdr:rowOff>171023</xdr:rowOff>
    </xdr:to>
    <xdr:sp macro="" textlink="">
      <xdr:nvSpPr>
        <xdr:cNvPr id="33" name="TextBox 32">
          <a:hlinkClick xmlns:r="http://schemas.openxmlformats.org/officeDocument/2006/relationships" r:id="rId4"/>
          <a:extLst>
            <a:ext uri="{FF2B5EF4-FFF2-40B4-BE49-F238E27FC236}">
              <a16:creationId xmlns:a16="http://schemas.microsoft.com/office/drawing/2014/main" id="{BC2C13FD-CBA5-4E5F-A3F0-1758B5D00CF0}"/>
            </a:ext>
          </a:extLst>
        </xdr:cNvPr>
        <xdr:cNvSpPr txBox="1"/>
      </xdr:nvSpPr>
      <xdr:spPr>
        <a:xfrm>
          <a:off x="0" y="2169999"/>
          <a:ext cx="1991498" cy="53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bg1"/>
              </a:solidFill>
              <a:latin typeface="Source Sans Pro" panose="020B0503030403020204" pitchFamily="34" charset="0"/>
              <a:ea typeface="Source Sans Pro" panose="020B0503030403020204" pitchFamily="34" charset="0"/>
              <a:cs typeface="+mn-cs"/>
            </a:rPr>
            <a:t>MADURAI</a:t>
          </a:r>
        </a:p>
      </xdr:txBody>
    </xdr:sp>
    <xdr:clientData/>
  </xdr:twoCellAnchor>
  <xdr:twoCellAnchor>
    <xdr:from>
      <xdr:col>0</xdr:col>
      <xdr:colOff>0</xdr:colOff>
      <xdr:row>15</xdr:row>
      <xdr:rowOff>29266</xdr:rowOff>
    </xdr:from>
    <xdr:to>
      <xdr:col>3</xdr:col>
      <xdr:colOff>411078</xdr:colOff>
      <xdr:row>18</xdr:row>
      <xdr:rowOff>19239</xdr:rowOff>
    </xdr:to>
    <xdr:grpSp>
      <xdr:nvGrpSpPr>
        <xdr:cNvPr id="34" name="Group 33">
          <a:extLst>
            <a:ext uri="{FF2B5EF4-FFF2-40B4-BE49-F238E27FC236}">
              <a16:creationId xmlns:a16="http://schemas.microsoft.com/office/drawing/2014/main" id="{B1694C4A-198A-2160-7F89-F92F5297B668}"/>
            </a:ext>
          </a:extLst>
        </xdr:cNvPr>
        <xdr:cNvGrpSpPr/>
      </xdr:nvGrpSpPr>
      <xdr:grpSpPr>
        <a:xfrm>
          <a:off x="0" y="2701214"/>
          <a:ext cx="2251753" cy="524363"/>
          <a:chOff x="50132" y="2324101"/>
          <a:chExt cx="2245894" cy="531395"/>
        </a:xfrm>
      </xdr:grpSpPr>
      <xdr:sp macro="" textlink="">
        <xdr:nvSpPr>
          <xdr:cNvPr id="24" name="Rectangle: Rounded Corners 23">
            <a:hlinkClick xmlns:r="http://schemas.openxmlformats.org/officeDocument/2006/relationships" r:id="rId5"/>
            <a:extLst>
              <a:ext uri="{FF2B5EF4-FFF2-40B4-BE49-F238E27FC236}">
                <a16:creationId xmlns:a16="http://schemas.microsoft.com/office/drawing/2014/main" id="{5494AFE2-9CDA-4803-B241-DCCB688BE939}"/>
              </a:ext>
            </a:extLst>
          </xdr:cNvPr>
          <xdr:cNvSpPr/>
        </xdr:nvSpPr>
        <xdr:spPr>
          <a:xfrm>
            <a:off x="80210" y="2366210"/>
            <a:ext cx="2215816" cy="461211"/>
          </a:xfrm>
          <a:prstGeom prst="roundRect">
            <a:avLst/>
          </a:prstGeom>
          <a:solidFill>
            <a:srgbClr val="F0F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TextBox 24">
            <a:extLst>
              <a:ext uri="{FF2B5EF4-FFF2-40B4-BE49-F238E27FC236}">
                <a16:creationId xmlns:a16="http://schemas.microsoft.com/office/drawing/2014/main" id="{F7592E85-C1DA-4894-8462-CBECA12F32D2}"/>
              </a:ext>
            </a:extLst>
          </xdr:cNvPr>
          <xdr:cNvSpPr txBox="1"/>
        </xdr:nvSpPr>
        <xdr:spPr>
          <a:xfrm>
            <a:off x="50132" y="2324101"/>
            <a:ext cx="1644316" cy="531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2400" b="1">
                <a:solidFill>
                  <a:schemeClr val="tx1"/>
                </a:solidFill>
                <a:latin typeface="Source Sans Pro" panose="020B0503030403020204" pitchFamily="34" charset="0"/>
                <a:ea typeface="Source Sans Pro" panose="020B0503030403020204" pitchFamily="34" charset="0"/>
                <a:cs typeface="+mn-cs"/>
              </a:rPr>
              <a:t>TRICHY</a:t>
            </a:r>
          </a:p>
        </xdr:txBody>
      </xdr:sp>
    </xdr:grpSp>
    <xdr:clientData/>
  </xdr:twoCellAnchor>
  <xdr:twoCellAnchor>
    <xdr:from>
      <xdr:col>4</xdr:col>
      <xdr:colOff>121920</xdr:colOff>
      <xdr:row>9</xdr:row>
      <xdr:rowOff>90237</xdr:rowOff>
    </xdr:from>
    <xdr:to>
      <xdr:col>7</xdr:col>
      <xdr:colOff>114300</xdr:colOff>
      <xdr:row>19</xdr:row>
      <xdr:rowOff>56700</xdr:rowOff>
    </xdr:to>
    <xdr:grpSp>
      <xdr:nvGrpSpPr>
        <xdr:cNvPr id="47" name="Group 46">
          <a:extLst>
            <a:ext uri="{FF2B5EF4-FFF2-40B4-BE49-F238E27FC236}">
              <a16:creationId xmlns:a16="http://schemas.microsoft.com/office/drawing/2014/main" id="{8D61718E-5E97-68F3-F23F-A3F0712CB158}"/>
            </a:ext>
          </a:extLst>
        </xdr:cNvPr>
        <xdr:cNvGrpSpPr/>
      </xdr:nvGrpSpPr>
      <xdr:grpSpPr>
        <a:xfrm>
          <a:off x="2576154" y="1693406"/>
          <a:ext cx="1833055" cy="1747762"/>
          <a:chOff x="2568341" y="1714500"/>
          <a:chExt cx="1827196" cy="1771200"/>
        </a:xfrm>
      </xdr:grpSpPr>
      <xdr:sp macro="" textlink="">
        <xdr:nvSpPr>
          <xdr:cNvPr id="12" name="Rectangle: Rounded Corners 11">
            <a:extLst>
              <a:ext uri="{FF2B5EF4-FFF2-40B4-BE49-F238E27FC236}">
                <a16:creationId xmlns:a16="http://schemas.microsoft.com/office/drawing/2014/main" id="{B8E05A87-658A-4EE7-8A74-C3B447C92ED8}"/>
              </a:ext>
            </a:extLst>
          </xdr:cNvPr>
          <xdr:cNvSpPr/>
        </xdr:nvSpPr>
        <xdr:spPr>
          <a:xfrm>
            <a:off x="2568341" y="1791903"/>
            <a:ext cx="1827196" cy="1118536"/>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5" name="Group 34">
            <a:extLst>
              <a:ext uri="{FF2B5EF4-FFF2-40B4-BE49-F238E27FC236}">
                <a16:creationId xmlns:a16="http://schemas.microsoft.com/office/drawing/2014/main" id="{3596F2A7-647E-42EB-81B6-A1F1669CCF4E}"/>
              </a:ext>
            </a:extLst>
          </xdr:cNvPr>
          <xdr:cNvGrpSpPr/>
        </xdr:nvGrpSpPr>
        <xdr:grpSpPr>
          <a:xfrm>
            <a:off x="2606842" y="1714500"/>
            <a:ext cx="1699200" cy="1771200"/>
            <a:chOff x="15848061" y="5690370"/>
            <a:chExt cx="3486727" cy="1860357"/>
          </a:xfrm>
        </xdr:grpSpPr>
        <xdr:graphicFrame macro="">
          <xdr:nvGraphicFramePr>
            <xdr:cNvPr id="36" name="Chart 35">
              <a:extLst>
                <a:ext uri="{FF2B5EF4-FFF2-40B4-BE49-F238E27FC236}">
                  <a16:creationId xmlns:a16="http://schemas.microsoft.com/office/drawing/2014/main" id="{8228E8A7-0423-AE66-8053-C03A06588D08}"/>
                </a:ext>
              </a:extLst>
            </xdr:cNvPr>
            <xdr:cNvGraphicFramePr/>
          </xdr:nvGraphicFramePr>
          <xdr:xfrm>
            <a:off x="15848061" y="5690370"/>
            <a:ext cx="3486727" cy="1860357"/>
          </xdr:xfrm>
          <a:graphic>
            <a:graphicData uri="http://schemas.openxmlformats.org/drawingml/2006/chart">
              <c:chart xmlns:c="http://schemas.openxmlformats.org/drawingml/2006/chart" xmlns:r="http://schemas.openxmlformats.org/officeDocument/2006/relationships" r:id="rId6"/>
            </a:graphicData>
          </a:graphic>
        </xdr:graphicFrame>
        <xdr:sp macro="" textlink="DPTri!$F$25">
          <xdr:nvSpPr>
            <xdr:cNvPr id="37" name="TextBox 36">
              <a:extLst>
                <a:ext uri="{FF2B5EF4-FFF2-40B4-BE49-F238E27FC236}">
                  <a16:creationId xmlns:a16="http://schemas.microsoft.com/office/drawing/2014/main" id="{26BCDCFB-9DF8-1464-D6FB-571D311134E8}"/>
                </a:ext>
              </a:extLst>
            </xdr:cNvPr>
            <xdr:cNvSpPr txBox="1"/>
          </xdr:nvSpPr>
          <xdr:spPr>
            <a:xfrm>
              <a:off x="16997513" y="6527030"/>
              <a:ext cx="1100318" cy="319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BE4E9D-4F2A-4D0B-A49D-83A7DAF21B6A}" type="TxLink">
                <a:rPr lang="en-US" sz="1300" b="1" i="0" u="none" strike="noStrike">
                  <a:solidFill>
                    <a:srgbClr val="80CBC4"/>
                  </a:solidFill>
                  <a:latin typeface="Source Sans Pro" panose="020B0503030403020204" pitchFamily="34" charset="0"/>
                  <a:ea typeface="Source Sans Pro" panose="020B0503030403020204" pitchFamily="34" charset="0"/>
                  <a:cs typeface="Calibri"/>
                </a:rPr>
                <a:pPr/>
                <a:t>73.8</a:t>
              </a:fld>
              <a:endParaRPr lang="en-IN" sz="1300" b="1">
                <a:solidFill>
                  <a:srgbClr val="80CBC4"/>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7</xdr:col>
      <xdr:colOff>246380</xdr:colOff>
      <xdr:row>9</xdr:row>
      <xdr:rowOff>70184</xdr:rowOff>
    </xdr:from>
    <xdr:to>
      <xdr:col>10</xdr:col>
      <xdr:colOff>254000</xdr:colOff>
      <xdr:row>19</xdr:row>
      <xdr:rowOff>36647</xdr:rowOff>
    </xdr:to>
    <xdr:grpSp>
      <xdr:nvGrpSpPr>
        <xdr:cNvPr id="48" name="Group 47">
          <a:extLst>
            <a:ext uri="{FF2B5EF4-FFF2-40B4-BE49-F238E27FC236}">
              <a16:creationId xmlns:a16="http://schemas.microsoft.com/office/drawing/2014/main" id="{75B6839E-0DB0-E6DC-0521-062F15FEE3CF}"/>
            </a:ext>
          </a:extLst>
        </xdr:cNvPr>
        <xdr:cNvGrpSpPr/>
      </xdr:nvGrpSpPr>
      <xdr:grpSpPr>
        <a:xfrm>
          <a:off x="4541289" y="1673353"/>
          <a:ext cx="1848295" cy="1747762"/>
          <a:chOff x="4527617" y="1694447"/>
          <a:chExt cx="1842436" cy="1771200"/>
        </a:xfrm>
      </xdr:grpSpPr>
      <xdr:sp macro="" textlink="">
        <xdr:nvSpPr>
          <xdr:cNvPr id="15" name="Rectangle: Rounded Corners 14">
            <a:extLst>
              <a:ext uri="{FF2B5EF4-FFF2-40B4-BE49-F238E27FC236}">
                <a16:creationId xmlns:a16="http://schemas.microsoft.com/office/drawing/2014/main" id="{9B1ADAFE-A96E-4732-B5FB-C4F443EE30FF}"/>
              </a:ext>
            </a:extLst>
          </xdr:cNvPr>
          <xdr:cNvSpPr/>
        </xdr:nvSpPr>
        <xdr:spPr>
          <a:xfrm>
            <a:off x="4527617" y="1812357"/>
            <a:ext cx="1842436" cy="1082842"/>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8" name="Group 37">
            <a:extLst>
              <a:ext uri="{FF2B5EF4-FFF2-40B4-BE49-F238E27FC236}">
                <a16:creationId xmlns:a16="http://schemas.microsoft.com/office/drawing/2014/main" id="{9AD2F21D-04AA-4986-ABC2-CE1C726CE614}"/>
              </a:ext>
            </a:extLst>
          </xdr:cNvPr>
          <xdr:cNvGrpSpPr/>
        </xdr:nvGrpSpPr>
        <xdr:grpSpPr>
          <a:xfrm>
            <a:off x="4582026" y="1694447"/>
            <a:ext cx="1699200" cy="1771200"/>
            <a:chOff x="12892426" y="5711151"/>
            <a:chExt cx="3417455" cy="1847274"/>
          </a:xfrm>
        </xdr:grpSpPr>
        <xdr:graphicFrame macro="">
          <xdr:nvGraphicFramePr>
            <xdr:cNvPr id="39" name="Chart 38">
              <a:extLst>
                <a:ext uri="{FF2B5EF4-FFF2-40B4-BE49-F238E27FC236}">
                  <a16:creationId xmlns:a16="http://schemas.microsoft.com/office/drawing/2014/main" id="{83DB8524-8E87-7506-2E5F-219BD13C2C91}"/>
                </a:ext>
              </a:extLst>
            </xdr:cNvPr>
            <xdr:cNvGraphicFramePr/>
          </xdr:nvGraphicFramePr>
          <xdr:xfrm>
            <a:off x="12892426" y="5711151"/>
            <a:ext cx="3417455" cy="1847274"/>
          </xdr:xfrm>
          <a:graphic>
            <a:graphicData uri="http://schemas.openxmlformats.org/drawingml/2006/chart">
              <c:chart xmlns:c="http://schemas.openxmlformats.org/drawingml/2006/chart" xmlns:r="http://schemas.openxmlformats.org/officeDocument/2006/relationships" r:id="rId7"/>
            </a:graphicData>
          </a:graphic>
        </xdr:graphicFrame>
        <xdr:sp macro="" textlink="DPTri!$I$4">
          <xdr:nvSpPr>
            <xdr:cNvPr id="40" name="TextBox 39">
              <a:extLst>
                <a:ext uri="{FF2B5EF4-FFF2-40B4-BE49-F238E27FC236}">
                  <a16:creationId xmlns:a16="http://schemas.microsoft.com/office/drawing/2014/main" id="{68011CCD-8B99-D700-620C-B55CE1C94A0E}"/>
                </a:ext>
              </a:extLst>
            </xdr:cNvPr>
            <xdr:cNvSpPr txBox="1"/>
          </xdr:nvSpPr>
          <xdr:spPr>
            <a:xfrm>
              <a:off x="14172281" y="6542909"/>
              <a:ext cx="913888" cy="32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024216-16B3-4FBF-84B8-4EF308133B31}" type="TxLink">
                <a:rPr lang="en-US" sz="1300" b="1" i="0" u="none" strike="noStrike">
                  <a:solidFill>
                    <a:srgbClr val="FFE082"/>
                  </a:solidFill>
                  <a:latin typeface="Source Sans Pro" panose="020B0503030403020204" pitchFamily="34" charset="0"/>
                  <a:ea typeface="Source Sans Pro" panose="020B0503030403020204" pitchFamily="34" charset="0"/>
                  <a:cs typeface="Calibri"/>
                </a:rPr>
                <a:pPr algn="ctr"/>
                <a:t>9</a:t>
              </a:fld>
              <a:endParaRPr lang="en-IN" sz="1300" b="1">
                <a:solidFill>
                  <a:srgbClr val="FFE082"/>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10</xdr:col>
      <xdr:colOff>386080</xdr:colOff>
      <xdr:row>9</xdr:row>
      <xdr:rowOff>60159</xdr:rowOff>
    </xdr:from>
    <xdr:to>
      <xdr:col>13</xdr:col>
      <xdr:colOff>424180</xdr:colOff>
      <xdr:row>19</xdr:row>
      <xdr:rowOff>26622</xdr:rowOff>
    </xdr:to>
    <xdr:grpSp>
      <xdr:nvGrpSpPr>
        <xdr:cNvPr id="49" name="Group 48">
          <a:extLst>
            <a:ext uri="{FF2B5EF4-FFF2-40B4-BE49-F238E27FC236}">
              <a16:creationId xmlns:a16="http://schemas.microsoft.com/office/drawing/2014/main" id="{25CFCC6F-065A-FD9D-FA0C-77EB366A5022}"/>
            </a:ext>
          </a:extLst>
        </xdr:cNvPr>
        <xdr:cNvGrpSpPr/>
      </xdr:nvGrpSpPr>
      <xdr:grpSpPr>
        <a:xfrm>
          <a:off x="6521664" y="1663328"/>
          <a:ext cx="1878776" cy="1747762"/>
          <a:chOff x="6502133" y="1684422"/>
          <a:chExt cx="1872915" cy="1771200"/>
        </a:xfrm>
      </xdr:grpSpPr>
      <xdr:sp macro="" textlink="">
        <xdr:nvSpPr>
          <xdr:cNvPr id="14" name="Rectangle: Rounded Corners 13">
            <a:extLst>
              <a:ext uri="{FF2B5EF4-FFF2-40B4-BE49-F238E27FC236}">
                <a16:creationId xmlns:a16="http://schemas.microsoft.com/office/drawing/2014/main" id="{2DE60404-87F5-4309-92C7-0FFB55A8B5E7}"/>
              </a:ext>
            </a:extLst>
          </xdr:cNvPr>
          <xdr:cNvSpPr/>
        </xdr:nvSpPr>
        <xdr:spPr>
          <a:xfrm>
            <a:off x="6502133" y="1819977"/>
            <a:ext cx="1872915"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1" name="Group 40">
            <a:extLst>
              <a:ext uri="{FF2B5EF4-FFF2-40B4-BE49-F238E27FC236}">
                <a16:creationId xmlns:a16="http://schemas.microsoft.com/office/drawing/2014/main" id="{45201A82-D7CB-4F39-A85D-5CAE34D310DA}"/>
              </a:ext>
            </a:extLst>
          </xdr:cNvPr>
          <xdr:cNvGrpSpPr/>
        </xdr:nvGrpSpPr>
        <xdr:grpSpPr>
          <a:xfrm>
            <a:off x="6617367" y="1684422"/>
            <a:ext cx="1699200" cy="1771200"/>
            <a:chOff x="8697575" y="7745463"/>
            <a:chExt cx="3502122" cy="1837266"/>
          </a:xfrm>
        </xdr:grpSpPr>
        <xdr:graphicFrame macro="">
          <xdr:nvGraphicFramePr>
            <xdr:cNvPr id="42" name="Chart 41">
              <a:extLst>
                <a:ext uri="{FF2B5EF4-FFF2-40B4-BE49-F238E27FC236}">
                  <a16:creationId xmlns:a16="http://schemas.microsoft.com/office/drawing/2014/main" id="{3B201537-78DD-5FA9-1FF7-F139DA19BE21}"/>
                </a:ext>
              </a:extLst>
            </xdr:cNvPr>
            <xdr:cNvGraphicFramePr/>
          </xdr:nvGraphicFramePr>
          <xdr:xfrm>
            <a:off x="8697575" y="7745463"/>
            <a:ext cx="3502122" cy="1837266"/>
          </xdr:xfrm>
          <a:graphic>
            <a:graphicData uri="http://schemas.openxmlformats.org/drawingml/2006/chart">
              <c:chart xmlns:c="http://schemas.openxmlformats.org/drawingml/2006/chart" xmlns:r="http://schemas.openxmlformats.org/officeDocument/2006/relationships" r:id="rId8"/>
            </a:graphicData>
          </a:graphic>
        </xdr:graphicFrame>
        <xdr:sp macro="" textlink="DPTri!$L$25">
          <xdr:nvSpPr>
            <xdr:cNvPr id="43" name="TextBox 42">
              <a:extLst>
                <a:ext uri="{FF2B5EF4-FFF2-40B4-BE49-F238E27FC236}">
                  <a16:creationId xmlns:a16="http://schemas.microsoft.com/office/drawing/2014/main" id="{42406685-C417-9788-B63C-3A8FA52929FA}"/>
                </a:ext>
              </a:extLst>
            </xdr:cNvPr>
            <xdr:cNvSpPr txBox="1"/>
          </xdr:nvSpPr>
          <xdr:spPr>
            <a:xfrm>
              <a:off x="9645279" y="8589818"/>
              <a:ext cx="1686845" cy="3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421BA9-B15C-4B41-8AC3-1A0ADBA51363}"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06:07:04</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13</xdr:col>
      <xdr:colOff>556260</xdr:colOff>
      <xdr:row>9</xdr:row>
      <xdr:rowOff>30079</xdr:rowOff>
    </xdr:from>
    <xdr:to>
      <xdr:col>17</xdr:col>
      <xdr:colOff>0</xdr:colOff>
      <xdr:row>18</xdr:row>
      <xdr:rowOff>177016</xdr:rowOff>
    </xdr:to>
    <xdr:grpSp>
      <xdr:nvGrpSpPr>
        <xdr:cNvPr id="50" name="Group 49">
          <a:extLst>
            <a:ext uri="{FF2B5EF4-FFF2-40B4-BE49-F238E27FC236}">
              <a16:creationId xmlns:a16="http://schemas.microsoft.com/office/drawing/2014/main" id="{E8F38053-8190-D406-4C4D-50A523200FEE}"/>
            </a:ext>
          </a:extLst>
        </xdr:cNvPr>
        <xdr:cNvGrpSpPr/>
      </xdr:nvGrpSpPr>
      <xdr:grpSpPr>
        <a:xfrm>
          <a:off x="8532520" y="1633248"/>
          <a:ext cx="1897974" cy="1750106"/>
          <a:chOff x="8507128" y="1654342"/>
          <a:chExt cx="1890161" cy="1771200"/>
        </a:xfrm>
      </xdr:grpSpPr>
      <xdr:sp macro="" textlink="">
        <xdr:nvSpPr>
          <xdr:cNvPr id="13" name="Rectangle: Rounded Corners 12">
            <a:extLst>
              <a:ext uri="{FF2B5EF4-FFF2-40B4-BE49-F238E27FC236}">
                <a16:creationId xmlns:a16="http://schemas.microsoft.com/office/drawing/2014/main" id="{F62CB17E-7884-4C9A-BE04-E80E5E32F89C}"/>
              </a:ext>
            </a:extLst>
          </xdr:cNvPr>
          <xdr:cNvSpPr/>
        </xdr:nvSpPr>
        <xdr:spPr>
          <a:xfrm>
            <a:off x="8507128" y="1819977"/>
            <a:ext cx="1890161" cy="1054768"/>
          </a:xfrm>
          <a:prstGeom prst="roundRect">
            <a:avLst>
              <a:gd name="adj" fmla="val 2627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4" name="Group 43">
            <a:extLst>
              <a:ext uri="{FF2B5EF4-FFF2-40B4-BE49-F238E27FC236}">
                <a16:creationId xmlns:a16="http://schemas.microsoft.com/office/drawing/2014/main" id="{9AD4E1F4-5B13-4136-A51C-5F07911F4E0D}"/>
              </a:ext>
            </a:extLst>
          </xdr:cNvPr>
          <xdr:cNvGrpSpPr/>
        </xdr:nvGrpSpPr>
        <xdr:grpSpPr>
          <a:xfrm>
            <a:off x="8582527" y="1654342"/>
            <a:ext cx="1699200" cy="1771200"/>
            <a:chOff x="12769274" y="7722369"/>
            <a:chExt cx="3440546" cy="1891146"/>
          </a:xfrm>
        </xdr:grpSpPr>
        <xdr:graphicFrame macro="">
          <xdr:nvGraphicFramePr>
            <xdr:cNvPr id="45" name="Chart 44">
              <a:extLst>
                <a:ext uri="{FF2B5EF4-FFF2-40B4-BE49-F238E27FC236}">
                  <a16:creationId xmlns:a16="http://schemas.microsoft.com/office/drawing/2014/main" id="{77B5D564-3B7C-2DC9-50A6-949CC198C8B1}"/>
                </a:ext>
              </a:extLst>
            </xdr:cNvPr>
            <xdr:cNvGraphicFramePr/>
          </xdr:nvGraphicFramePr>
          <xdr:xfrm>
            <a:off x="12769274" y="7722369"/>
            <a:ext cx="3440546" cy="1891146"/>
          </xdr:xfrm>
          <a:graphic>
            <a:graphicData uri="http://schemas.openxmlformats.org/drawingml/2006/chart">
              <c:chart xmlns:c="http://schemas.openxmlformats.org/drawingml/2006/chart" xmlns:r="http://schemas.openxmlformats.org/officeDocument/2006/relationships" r:id="rId9"/>
            </a:graphicData>
          </a:graphic>
        </xdr:graphicFrame>
        <xdr:sp macro="" textlink="DPTri!$M$25">
          <xdr:nvSpPr>
            <xdr:cNvPr id="46" name="TextBox 45">
              <a:extLst>
                <a:ext uri="{FF2B5EF4-FFF2-40B4-BE49-F238E27FC236}">
                  <a16:creationId xmlns:a16="http://schemas.microsoft.com/office/drawing/2014/main" id="{CD1E0C78-393B-AB6A-C2BC-1B0D2B14A494}"/>
                </a:ext>
              </a:extLst>
            </xdr:cNvPr>
            <xdr:cNvSpPr txBox="1"/>
          </xdr:nvSpPr>
          <xdr:spPr>
            <a:xfrm>
              <a:off x="13655877" y="8605210"/>
              <a:ext cx="1718785" cy="323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7CD041-0A05-49E7-A8A4-3DC3FEBA841B}" type="TxLink">
                <a:rPr lang="en-US" sz="1300" b="1" i="0" u="none" strike="noStrike">
                  <a:solidFill>
                    <a:srgbClr val="FFA726"/>
                  </a:solidFill>
                  <a:latin typeface="Source Sans Pro" panose="020B0503030403020204" pitchFamily="34" charset="0"/>
                  <a:ea typeface="Source Sans Pro" panose="020B0503030403020204" pitchFamily="34" charset="0"/>
                  <a:cs typeface="Calibri"/>
                </a:rPr>
                <a:pPr/>
                <a:t>17:50:24</a:t>
              </a:fld>
              <a:endParaRPr lang="en-IN" sz="1300" b="1">
                <a:solidFill>
                  <a:srgbClr val="FFA726"/>
                </a:solidFill>
                <a:latin typeface="Source Sans Pro" panose="020B0503030403020204" pitchFamily="34" charset="0"/>
                <a:ea typeface="Source Sans Pro" panose="020B0503030403020204" pitchFamily="34" charset="0"/>
              </a:endParaRPr>
            </a:p>
          </xdr:txBody>
        </xdr:sp>
      </xdr:grpSp>
    </xdr:grpSp>
    <xdr:clientData/>
  </xdr:twoCellAnchor>
  <xdr:twoCellAnchor>
    <xdr:from>
      <xdr:col>4</xdr:col>
      <xdr:colOff>129540</xdr:colOff>
      <xdr:row>16</xdr:row>
      <xdr:rowOff>130342</xdr:rowOff>
    </xdr:from>
    <xdr:to>
      <xdr:col>11</xdr:col>
      <xdr:colOff>430879</xdr:colOff>
      <xdr:row>30</xdr:row>
      <xdr:rowOff>131677</xdr:rowOff>
    </xdr:to>
    <xdr:grpSp>
      <xdr:nvGrpSpPr>
        <xdr:cNvPr id="52" name="Group 51">
          <a:extLst>
            <a:ext uri="{FF2B5EF4-FFF2-40B4-BE49-F238E27FC236}">
              <a16:creationId xmlns:a16="http://schemas.microsoft.com/office/drawing/2014/main" id="{AA156DB4-CBF4-B805-4F96-B762D038BA12}"/>
            </a:ext>
          </a:extLst>
        </xdr:cNvPr>
        <xdr:cNvGrpSpPr/>
      </xdr:nvGrpSpPr>
      <xdr:grpSpPr>
        <a:xfrm>
          <a:off x="2583774" y="2980420"/>
          <a:ext cx="4596248" cy="2495153"/>
          <a:chOff x="2575961" y="3017921"/>
          <a:chExt cx="4582576" cy="2527967"/>
        </a:xfrm>
      </xdr:grpSpPr>
      <xdr:sp macro="" textlink="">
        <xdr:nvSpPr>
          <xdr:cNvPr id="16" name="Rectangle: Rounded Corners 15">
            <a:extLst>
              <a:ext uri="{FF2B5EF4-FFF2-40B4-BE49-F238E27FC236}">
                <a16:creationId xmlns:a16="http://schemas.microsoft.com/office/drawing/2014/main" id="{EB62289E-E314-47BC-9FA4-CA02ABBEEBAB}"/>
              </a:ext>
            </a:extLst>
          </xdr:cNvPr>
          <xdr:cNvSpPr/>
        </xdr:nvSpPr>
        <xdr:spPr>
          <a:xfrm>
            <a:off x="2575961" y="3068053"/>
            <a:ext cx="3837272" cy="2325704"/>
          </a:xfrm>
          <a:prstGeom prst="roundRect">
            <a:avLst>
              <a:gd name="adj" fmla="val 660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1" name="Chart 50">
            <a:extLst>
              <a:ext uri="{FF2B5EF4-FFF2-40B4-BE49-F238E27FC236}">
                <a16:creationId xmlns:a16="http://schemas.microsoft.com/office/drawing/2014/main" id="{0752A881-7D05-493A-A9E8-9B2CEEE9BD26}"/>
              </a:ext>
            </a:extLst>
          </xdr:cNvPr>
          <xdr:cNvGraphicFramePr>
            <a:graphicFrameLocks/>
          </xdr:cNvGraphicFramePr>
        </xdr:nvGraphicFramePr>
        <xdr:xfrm>
          <a:off x="2626894" y="3017921"/>
          <a:ext cx="4531643" cy="252796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10</xdr:col>
      <xdr:colOff>464820</xdr:colOff>
      <xdr:row>16</xdr:row>
      <xdr:rowOff>110288</xdr:rowOff>
    </xdr:from>
    <xdr:to>
      <xdr:col>17</xdr:col>
      <xdr:colOff>50133</xdr:colOff>
      <xdr:row>30</xdr:row>
      <xdr:rowOff>116847</xdr:rowOff>
    </xdr:to>
    <xdr:grpSp>
      <xdr:nvGrpSpPr>
        <xdr:cNvPr id="54" name="Group 53">
          <a:extLst>
            <a:ext uri="{FF2B5EF4-FFF2-40B4-BE49-F238E27FC236}">
              <a16:creationId xmlns:a16="http://schemas.microsoft.com/office/drawing/2014/main" id="{960DE0B8-9B88-EAA4-86E4-A8B9C8EF7D0C}"/>
            </a:ext>
          </a:extLst>
        </xdr:cNvPr>
        <xdr:cNvGrpSpPr/>
      </xdr:nvGrpSpPr>
      <xdr:grpSpPr>
        <a:xfrm>
          <a:off x="6600404" y="2960366"/>
          <a:ext cx="3880223" cy="2500377"/>
          <a:chOff x="6580873" y="2997867"/>
          <a:chExt cx="3866549" cy="2533191"/>
        </a:xfrm>
      </xdr:grpSpPr>
      <xdr:sp macro="" textlink="">
        <xdr:nvSpPr>
          <xdr:cNvPr id="17" name="Rectangle: Rounded Corners 16">
            <a:extLst>
              <a:ext uri="{FF2B5EF4-FFF2-40B4-BE49-F238E27FC236}">
                <a16:creationId xmlns:a16="http://schemas.microsoft.com/office/drawing/2014/main" id="{C38B3827-4C1F-409F-AEEB-4E904CB63018}"/>
              </a:ext>
            </a:extLst>
          </xdr:cNvPr>
          <xdr:cNvSpPr/>
        </xdr:nvSpPr>
        <xdr:spPr>
          <a:xfrm>
            <a:off x="6580873" y="3083293"/>
            <a:ext cx="3816416" cy="2325704"/>
          </a:xfrm>
          <a:prstGeom prst="roundRect">
            <a:avLst>
              <a:gd name="adj" fmla="val 707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3" name="Chart 52">
            <a:extLst>
              <a:ext uri="{FF2B5EF4-FFF2-40B4-BE49-F238E27FC236}">
                <a16:creationId xmlns:a16="http://schemas.microsoft.com/office/drawing/2014/main" id="{1BF82829-D702-4B63-893F-80D4F54CE50B}"/>
              </a:ext>
            </a:extLst>
          </xdr:cNvPr>
          <xdr:cNvGraphicFramePr>
            <a:graphicFrameLocks/>
          </xdr:cNvGraphicFramePr>
        </xdr:nvGraphicFramePr>
        <xdr:xfrm>
          <a:off x="6587290" y="2997867"/>
          <a:ext cx="3860132" cy="2533191"/>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417712</xdr:colOff>
      <xdr:row>30</xdr:row>
      <xdr:rowOff>103502</xdr:rowOff>
    </xdr:from>
    <xdr:to>
      <xdr:col>18</xdr:col>
      <xdr:colOff>47754</xdr:colOff>
      <xdr:row>45</xdr:row>
      <xdr:rowOff>54990</xdr:rowOff>
    </xdr:to>
    <xdr:grpSp>
      <xdr:nvGrpSpPr>
        <xdr:cNvPr id="56" name="Group 55">
          <a:extLst>
            <a:ext uri="{FF2B5EF4-FFF2-40B4-BE49-F238E27FC236}">
              <a16:creationId xmlns:a16="http://schemas.microsoft.com/office/drawing/2014/main" id="{61E420C2-4591-1F29-3EEF-2C6B50DA52CD}"/>
            </a:ext>
          </a:extLst>
        </xdr:cNvPr>
        <xdr:cNvGrpSpPr/>
      </xdr:nvGrpSpPr>
      <xdr:grpSpPr>
        <a:xfrm>
          <a:off x="6553296" y="5447398"/>
          <a:ext cx="4538510" cy="2623436"/>
          <a:chOff x="6557211" y="5564606"/>
          <a:chExt cx="4522884" cy="2658593"/>
        </a:xfrm>
      </xdr:grpSpPr>
      <xdr:sp macro="" textlink="">
        <xdr:nvSpPr>
          <xdr:cNvPr id="18" name="Rectangle: Rounded Corners 17">
            <a:extLst>
              <a:ext uri="{FF2B5EF4-FFF2-40B4-BE49-F238E27FC236}">
                <a16:creationId xmlns:a16="http://schemas.microsoft.com/office/drawing/2014/main" id="{8EA87A50-BADE-41E9-87B8-1879DAA523C7}"/>
              </a:ext>
            </a:extLst>
          </xdr:cNvPr>
          <xdr:cNvSpPr/>
        </xdr:nvSpPr>
        <xdr:spPr>
          <a:xfrm>
            <a:off x="6597316" y="5611930"/>
            <a:ext cx="3801980"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5" name="Chart 54">
            <a:extLst>
              <a:ext uri="{FF2B5EF4-FFF2-40B4-BE49-F238E27FC236}">
                <a16:creationId xmlns:a16="http://schemas.microsoft.com/office/drawing/2014/main" id="{AEEEFACF-92A2-4D13-9B52-737DD6F75331}"/>
              </a:ext>
            </a:extLst>
          </xdr:cNvPr>
          <xdr:cNvGraphicFramePr>
            <a:graphicFrameLocks/>
          </xdr:cNvGraphicFramePr>
        </xdr:nvGraphicFramePr>
        <xdr:xfrm>
          <a:off x="6557211" y="5564606"/>
          <a:ext cx="4522884" cy="2658593"/>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471714</xdr:colOff>
      <xdr:row>5</xdr:row>
      <xdr:rowOff>12095</xdr:rowOff>
    </xdr:from>
    <xdr:to>
      <xdr:col>17</xdr:col>
      <xdr:colOff>147690</xdr:colOff>
      <xdr:row>6</xdr:row>
      <xdr:rowOff>102331</xdr:rowOff>
    </xdr:to>
    <xdr:sp macro="" textlink="">
      <xdr:nvSpPr>
        <xdr:cNvPr id="57" name="TextBox 56">
          <a:extLst>
            <a:ext uri="{FF2B5EF4-FFF2-40B4-BE49-F238E27FC236}">
              <a16:creationId xmlns:a16="http://schemas.microsoft.com/office/drawing/2014/main" id="{ED066721-B2A6-4C65-A780-0BB795252EF3}"/>
            </a:ext>
          </a:extLst>
        </xdr:cNvPr>
        <xdr:cNvSpPr txBox="1"/>
      </xdr:nvSpPr>
      <xdr:spPr>
        <a:xfrm>
          <a:off x="8938381" y="919238"/>
          <a:ext cx="1490261" cy="27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D2B38"/>
              </a:solidFill>
              <a:latin typeface="Source Sans Pro" panose="020B0503030403020204" pitchFamily="34" charset="0"/>
              <a:ea typeface="Source Sans Pro" panose="020B0503030403020204" pitchFamily="34" charset="0"/>
              <a:cs typeface="+mn-cs"/>
            </a:rPr>
            <a:t>Cloud Cover</a:t>
          </a:r>
        </a:p>
      </xdr:txBody>
    </xdr:sp>
    <xdr:clientData/>
  </xdr:twoCellAnchor>
  <xdr:twoCellAnchor editAs="oneCell">
    <xdr:from>
      <xdr:col>14</xdr:col>
      <xdr:colOff>360012</xdr:colOff>
      <xdr:row>0</xdr:row>
      <xdr:rowOff>0</xdr:rowOff>
    </xdr:from>
    <xdr:to>
      <xdr:col>15</xdr:col>
      <xdr:colOff>471411</xdr:colOff>
      <xdr:row>3</xdr:row>
      <xdr:rowOff>174898</xdr:rowOff>
    </xdr:to>
    <xdr:pic macro="[0]!Refresh_Dashboard">
      <xdr:nvPicPr>
        <xdr:cNvPr id="58" name="Graphic 57" descr="Arrow circle with solid fill">
          <a:extLst>
            <a:ext uri="{FF2B5EF4-FFF2-40B4-BE49-F238E27FC236}">
              <a16:creationId xmlns:a16="http://schemas.microsoft.com/office/drawing/2014/main" id="{677D547E-D0A9-4869-A188-68806B9357E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858249" y="0"/>
          <a:ext cx="718416" cy="717339"/>
        </a:xfrm>
        <a:prstGeom prst="rect">
          <a:avLst/>
        </a:prstGeom>
      </xdr:spPr>
    </xdr:pic>
    <xdr:clientData/>
  </xdr:twoCellAnchor>
  <xdr:twoCellAnchor>
    <xdr:from>
      <xdr:col>4</xdr:col>
      <xdr:colOff>125036</xdr:colOff>
      <xdr:row>30</xdr:row>
      <xdr:rowOff>91778</xdr:rowOff>
    </xdr:from>
    <xdr:to>
      <xdr:col>10</xdr:col>
      <xdr:colOff>323156</xdr:colOff>
      <xdr:row>45</xdr:row>
      <xdr:rowOff>11569</xdr:rowOff>
    </xdr:to>
    <xdr:grpSp>
      <xdr:nvGrpSpPr>
        <xdr:cNvPr id="60" name="Group 59">
          <a:extLst>
            <a:ext uri="{FF2B5EF4-FFF2-40B4-BE49-F238E27FC236}">
              <a16:creationId xmlns:a16="http://schemas.microsoft.com/office/drawing/2014/main" id="{3ABA4839-2A02-D057-FF2C-B5A527A3B614}"/>
            </a:ext>
          </a:extLst>
        </xdr:cNvPr>
        <xdr:cNvGrpSpPr/>
      </xdr:nvGrpSpPr>
      <xdr:grpSpPr>
        <a:xfrm>
          <a:off x="2579270" y="5435674"/>
          <a:ext cx="3879470" cy="2591739"/>
          <a:chOff x="2569786" y="5568653"/>
          <a:chExt cx="3865245" cy="2658229"/>
        </a:xfrm>
      </xdr:grpSpPr>
      <xdr:grpSp>
        <xdr:nvGrpSpPr>
          <xdr:cNvPr id="19" name="Group 18">
            <a:extLst>
              <a:ext uri="{FF2B5EF4-FFF2-40B4-BE49-F238E27FC236}">
                <a16:creationId xmlns:a16="http://schemas.microsoft.com/office/drawing/2014/main" id="{2E26A61D-738F-4241-9DCF-5B127AA3C0BE}"/>
              </a:ext>
            </a:extLst>
          </xdr:cNvPr>
          <xdr:cNvGrpSpPr/>
        </xdr:nvGrpSpPr>
        <xdr:grpSpPr>
          <a:xfrm>
            <a:off x="2569786" y="5568653"/>
            <a:ext cx="3865245" cy="2658229"/>
            <a:chOff x="2583180" y="5564605"/>
            <a:chExt cx="3867752" cy="2626896"/>
          </a:xfrm>
        </xdr:grpSpPr>
        <xdr:sp macro="" textlink="">
          <xdr:nvSpPr>
            <xdr:cNvPr id="20" name="Rectangle: Rounded Corners 19">
              <a:extLst>
                <a:ext uri="{FF2B5EF4-FFF2-40B4-BE49-F238E27FC236}">
                  <a16:creationId xmlns:a16="http://schemas.microsoft.com/office/drawing/2014/main" id="{B2C83328-4C12-D092-89BF-0CF9431BD338}"/>
                </a:ext>
              </a:extLst>
            </xdr:cNvPr>
            <xdr:cNvSpPr/>
          </xdr:nvSpPr>
          <xdr:spPr>
            <a:xfrm>
              <a:off x="2583180" y="5613936"/>
              <a:ext cx="3867752" cy="2577565"/>
            </a:xfrm>
            <a:prstGeom prst="roundRect">
              <a:avLst>
                <a:gd name="adj" fmla="val 943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tsle="http://schemas.microsoft.com/office/drawing/2012/timeslicer">
          <mc:Choice Requires="tsle">
            <xdr:graphicFrame macro="">
              <xdr:nvGraphicFramePr>
                <xdr:cNvPr id="21" name="Date 8">
                  <a:extLst>
                    <a:ext uri="{FF2B5EF4-FFF2-40B4-BE49-F238E27FC236}">
                      <a16:creationId xmlns:a16="http://schemas.microsoft.com/office/drawing/2014/main" id="{9C97F320-9F8E-1C1A-4E47-2AF74C4786C2}"/>
                    </a:ext>
                  </a:extLst>
                </xdr:cNvPr>
                <xdr:cNvGraphicFramePr/>
              </xdr:nvGraphicFramePr>
              <xdr:xfrm>
                <a:off x="2687054" y="5564605"/>
                <a:ext cx="3559342" cy="842211"/>
              </xdr:xfrm>
              <a:graphic>
                <a:graphicData uri="http://schemas.microsoft.com/office/drawing/2012/timeslicer">
                  <tsle:timeslicer name="Date 8"/>
                </a:graphicData>
              </a:graphic>
            </xdr:graphicFrame>
          </mc:Choice>
          <mc:Fallback xmlns="">
            <xdr:sp macro="" textlink="">
              <xdr:nvSpPr>
                <xdr:cNvPr id="0" name=""/>
                <xdr:cNvSpPr>
                  <a:spLocks noTextEdit="1"/>
                </xdr:cNvSpPr>
              </xdr:nvSpPr>
              <xdr:spPr>
                <a:xfrm>
                  <a:off x="2683459" y="5435674"/>
                  <a:ext cx="3570126" cy="8309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22" name="Date 9">
                  <a:extLst>
                    <a:ext uri="{FF2B5EF4-FFF2-40B4-BE49-F238E27FC236}">
                      <a16:creationId xmlns:a16="http://schemas.microsoft.com/office/drawing/2014/main" id="{D646C497-140D-F35A-DBF0-47DAB26C03BA}"/>
                    </a:ext>
                  </a:extLst>
                </xdr:cNvPr>
                <xdr:cNvGraphicFramePr/>
              </xdr:nvGraphicFramePr>
              <xdr:xfrm>
                <a:off x="2677028" y="6414321"/>
                <a:ext cx="3589420" cy="1676916"/>
              </xdr:xfrm>
              <a:graphic>
                <a:graphicData uri="http://schemas.microsoft.com/office/drawing/2010/slicer">
                  <sle:slicer xmlns:sle="http://schemas.microsoft.com/office/drawing/2010/slicer" name="Date 9"/>
                </a:graphicData>
              </a:graphic>
            </xdr:graphicFrame>
          </mc:Choice>
          <mc:Fallback xmlns="">
            <xdr:sp macro="" textlink="">
              <xdr:nvSpPr>
                <xdr:cNvPr id="0" name=""/>
                <xdr:cNvSpPr>
                  <a:spLocks noTextEdit="1"/>
                </xdr:cNvSpPr>
              </xdr:nvSpPr>
              <xdr:spPr>
                <a:xfrm>
                  <a:off x="2673402" y="6274018"/>
                  <a:ext cx="3600295" cy="1654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59" name="TextBox 58">
            <a:extLst>
              <a:ext uri="{FF2B5EF4-FFF2-40B4-BE49-F238E27FC236}">
                <a16:creationId xmlns:a16="http://schemas.microsoft.com/office/drawing/2014/main" id="{070BB831-C10A-4318-8A2E-816C69A7706E}"/>
              </a:ext>
            </a:extLst>
          </xdr:cNvPr>
          <xdr:cNvSpPr txBox="1"/>
        </xdr:nvSpPr>
        <xdr:spPr>
          <a:xfrm>
            <a:off x="3698875" y="5643563"/>
            <a:ext cx="2255212" cy="307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1D2B38"/>
                </a:solidFill>
                <a:latin typeface="Source Sans Pro" panose="020B0503030403020204" pitchFamily="34" charset="0"/>
                <a:ea typeface="Source Sans Pro" panose="020B0503030403020204" pitchFamily="34" charset="0"/>
              </a:rPr>
              <a:t>Select Date Range</a:t>
            </a:r>
          </a:p>
        </xdr:txBody>
      </xdr:sp>
    </xdr:grpSp>
    <xdr:clientData/>
  </xdr:twoCellAnchor>
  <xdr:twoCellAnchor editAs="oneCell">
    <xdr:from>
      <xdr:col>15</xdr:col>
      <xdr:colOff>385842</xdr:colOff>
      <xdr:row>0</xdr:row>
      <xdr:rowOff>0</xdr:rowOff>
    </xdr:from>
    <xdr:to>
      <xdr:col>16</xdr:col>
      <xdr:colOff>539686</xdr:colOff>
      <xdr:row>4</xdr:row>
      <xdr:rowOff>37608</xdr:rowOff>
    </xdr:to>
    <xdr:pic>
      <xdr:nvPicPr>
        <xdr:cNvPr id="61" name="Picture 60">
          <a:extLst>
            <a:ext uri="{FF2B5EF4-FFF2-40B4-BE49-F238E27FC236}">
              <a16:creationId xmlns:a16="http://schemas.microsoft.com/office/drawing/2014/main" id="{834F2C50-9D53-4180-94F2-5F42BFC6256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491096" y="0"/>
          <a:ext cx="760861" cy="760862"/>
        </a:xfrm>
        <a:prstGeom prst="rect">
          <a:avLst/>
        </a:prstGeom>
      </xdr:spPr>
    </xdr:pic>
    <xdr:clientData/>
  </xdr:twoCellAnchor>
  <xdr:twoCellAnchor editAs="oneCell">
    <xdr:from>
      <xdr:col>4</xdr:col>
      <xdr:colOff>271220</xdr:colOff>
      <xdr:row>4</xdr:row>
      <xdr:rowOff>90407</xdr:rowOff>
    </xdr:from>
    <xdr:to>
      <xdr:col>4</xdr:col>
      <xdr:colOff>545102</xdr:colOff>
      <xdr:row>8</xdr:row>
      <xdr:rowOff>129153</xdr:rowOff>
    </xdr:to>
    <xdr:pic>
      <xdr:nvPicPr>
        <xdr:cNvPr id="62" name="Picture 61">
          <a:extLst>
            <a:ext uri="{FF2B5EF4-FFF2-40B4-BE49-F238E27FC236}">
              <a16:creationId xmlns:a16="http://schemas.microsoft.com/office/drawing/2014/main" id="{07762CBF-72F1-4CE6-916A-6694CE3D0475}"/>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54153" r="9904"/>
        <a:stretch>
          <a:fillRect/>
        </a:stretch>
      </xdr:blipFill>
      <xdr:spPr>
        <a:xfrm>
          <a:off x="2699288" y="813661"/>
          <a:ext cx="273882" cy="762000"/>
        </a:xfrm>
        <a:prstGeom prst="rect">
          <a:avLst/>
        </a:prstGeom>
      </xdr:spPr>
    </xdr:pic>
    <xdr:clientData/>
  </xdr:twoCellAnchor>
  <xdr:twoCellAnchor editAs="oneCell">
    <xdr:from>
      <xdr:col>6</xdr:col>
      <xdr:colOff>580153</xdr:colOff>
      <xdr:row>4</xdr:row>
      <xdr:rowOff>138536</xdr:rowOff>
    </xdr:from>
    <xdr:to>
      <xdr:col>7</xdr:col>
      <xdr:colOff>316034</xdr:colOff>
      <xdr:row>8</xdr:row>
      <xdr:rowOff>150784</xdr:rowOff>
    </xdr:to>
    <xdr:pic>
      <xdr:nvPicPr>
        <xdr:cNvPr id="63" name="Picture 62">
          <a:extLst>
            <a:ext uri="{FF2B5EF4-FFF2-40B4-BE49-F238E27FC236}">
              <a16:creationId xmlns:a16="http://schemas.microsoft.com/office/drawing/2014/main" id="{81AF9D91-B8E7-4F9F-A7EF-2A06D83063AB}"/>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r="53379"/>
        <a:stretch>
          <a:fillRect/>
        </a:stretch>
      </xdr:blipFill>
      <xdr:spPr>
        <a:xfrm>
          <a:off x="4222255" y="861790"/>
          <a:ext cx="342898" cy="735502"/>
        </a:xfrm>
        <a:prstGeom prst="rect">
          <a:avLst/>
        </a:prstGeom>
      </xdr:spPr>
    </xdr:pic>
    <xdr:clientData/>
  </xdr:twoCellAnchor>
  <xdr:twoCellAnchor editAs="oneCell">
    <xdr:from>
      <xdr:col>12</xdr:col>
      <xdr:colOff>129779</xdr:colOff>
      <xdr:row>5</xdr:row>
      <xdr:rowOff>90407</xdr:rowOff>
    </xdr:from>
    <xdr:to>
      <xdr:col>12</xdr:col>
      <xdr:colOff>452034</xdr:colOff>
      <xdr:row>8</xdr:row>
      <xdr:rowOff>116238</xdr:rowOff>
    </xdr:to>
    <xdr:pic>
      <xdr:nvPicPr>
        <xdr:cNvPr id="64" name="Picture 63">
          <a:extLst>
            <a:ext uri="{FF2B5EF4-FFF2-40B4-BE49-F238E27FC236}">
              <a16:creationId xmlns:a16="http://schemas.microsoft.com/office/drawing/2014/main" id="{EE93F420-C021-4809-8E57-341982F19C56}"/>
            </a:ext>
          </a:extLst>
        </xdr:cNvPr>
        <xdr:cNvPicPr>
          <a:picLocks noChangeAspect="1"/>
        </xdr:cNvPicPr>
      </xdr:nvPicPr>
      <xdr:blipFill>
        <a:blip xmlns:r="http://schemas.openxmlformats.org/officeDocument/2006/relationships" r:embed="rId18" cstate="print">
          <a:biLevel thresh="75000"/>
          <a:extLst>
            <a:ext uri="{28A0092B-C50C-407E-A947-70E740481C1C}">
              <a14:useLocalDpi xmlns:a14="http://schemas.microsoft.com/office/drawing/2010/main" val="0"/>
            </a:ext>
          </a:extLst>
        </a:blip>
        <a:stretch>
          <a:fillRect/>
        </a:stretch>
      </xdr:blipFill>
      <xdr:spPr>
        <a:xfrm>
          <a:off x="7413982" y="994475"/>
          <a:ext cx="322255" cy="568271"/>
        </a:xfrm>
        <a:prstGeom prst="rect">
          <a:avLst/>
        </a:prstGeom>
      </xdr:spPr>
    </xdr:pic>
    <xdr:clientData/>
  </xdr:twoCellAnchor>
  <xdr:twoCellAnchor editAs="oneCell">
    <xdr:from>
      <xdr:col>9</xdr:col>
      <xdr:colOff>363784</xdr:colOff>
      <xdr:row>5</xdr:row>
      <xdr:rowOff>105160</xdr:rowOff>
    </xdr:from>
    <xdr:to>
      <xdr:col>10</xdr:col>
      <xdr:colOff>76222</xdr:colOff>
      <xdr:row>8</xdr:row>
      <xdr:rowOff>96120</xdr:rowOff>
    </xdr:to>
    <xdr:pic>
      <xdr:nvPicPr>
        <xdr:cNvPr id="65" name="Picture 64">
          <a:extLst>
            <a:ext uri="{FF2B5EF4-FFF2-40B4-BE49-F238E27FC236}">
              <a16:creationId xmlns:a16="http://schemas.microsoft.com/office/drawing/2014/main" id="{8C93FB9D-6887-4729-9CBC-2B36651534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26937" y="1009228"/>
          <a:ext cx="319454" cy="533400"/>
        </a:xfrm>
        <a:prstGeom prst="rect">
          <a:avLst/>
        </a:prstGeom>
      </xdr:spPr>
    </xdr:pic>
    <xdr:clientData/>
  </xdr:twoCellAnchor>
  <xdr:twoCellAnchor editAs="oneCell">
    <xdr:from>
      <xdr:col>14</xdr:col>
      <xdr:colOff>525632</xdr:colOff>
      <xdr:row>5</xdr:row>
      <xdr:rowOff>166719</xdr:rowOff>
    </xdr:from>
    <xdr:to>
      <xdr:col>15</xdr:col>
      <xdr:colOff>206644</xdr:colOff>
      <xdr:row>8</xdr:row>
      <xdr:rowOff>51661</xdr:rowOff>
    </xdr:to>
    <xdr:pic>
      <xdr:nvPicPr>
        <xdr:cNvPr id="68" name="Picture 67" descr="Cloud Generic color fill icon">
          <a:extLst>
            <a:ext uri="{FF2B5EF4-FFF2-40B4-BE49-F238E27FC236}">
              <a16:creationId xmlns:a16="http://schemas.microsoft.com/office/drawing/2014/main" id="{AA488FB8-4286-5703-CF04-D80A6532B3EC}"/>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23869" y="1070787"/>
          <a:ext cx="288029" cy="4273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318988</xdr:colOff>
      <xdr:row>10</xdr:row>
      <xdr:rowOff>76311</xdr:rowOff>
    </xdr:from>
    <xdr:to>
      <xdr:col>8</xdr:col>
      <xdr:colOff>72037</xdr:colOff>
      <xdr:row>12</xdr:row>
      <xdr:rowOff>86519</xdr:rowOff>
    </xdr:to>
    <xdr:pic>
      <xdr:nvPicPr>
        <xdr:cNvPr id="69" name="Picture 68" descr="UV radiation icon solar ultraviolet light symbol for graphic design ...">
          <a:extLst>
            <a:ext uri="{FF2B5EF4-FFF2-40B4-BE49-F238E27FC236}">
              <a16:creationId xmlns:a16="http://schemas.microsoft.com/office/drawing/2014/main" id="{7E2164CF-354A-44D1-8788-4D005A30EDCE}"/>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568107" y="1884447"/>
          <a:ext cx="360066" cy="3718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238157</xdr:colOff>
      <xdr:row>10</xdr:row>
      <xdr:rowOff>51491</xdr:rowOff>
    </xdr:from>
    <xdr:to>
      <xdr:col>4</xdr:col>
      <xdr:colOff>604216</xdr:colOff>
      <xdr:row>12</xdr:row>
      <xdr:rowOff>26040</xdr:rowOff>
    </xdr:to>
    <xdr:pic>
      <xdr:nvPicPr>
        <xdr:cNvPr id="70" name="Picture 69">
          <a:extLst>
            <a:ext uri="{FF2B5EF4-FFF2-40B4-BE49-F238E27FC236}">
              <a16:creationId xmlns:a16="http://schemas.microsoft.com/office/drawing/2014/main" id="{29B0870C-EC70-4B3B-8A5D-309EBBFD5D1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2666225" y="1859627"/>
          <a:ext cx="366059" cy="336176"/>
        </a:xfrm>
        <a:prstGeom prst="rect">
          <a:avLst/>
        </a:prstGeom>
      </xdr:spPr>
    </xdr:pic>
    <xdr:clientData/>
  </xdr:twoCellAnchor>
  <xdr:twoCellAnchor editAs="oneCell">
    <xdr:from>
      <xdr:col>10</xdr:col>
      <xdr:colOff>433397</xdr:colOff>
      <xdr:row>10</xdr:row>
      <xdr:rowOff>57446</xdr:rowOff>
    </xdr:from>
    <xdr:to>
      <xdr:col>11</xdr:col>
      <xdr:colOff>368084</xdr:colOff>
      <xdr:row>12</xdr:row>
      <xdr:rowOff>64576</xdr:rowOff>
    </xdr:to>
    <xdr:pic>
      <xdr:nvPicPr>
        <xdr:cNvPr id="74" name="Picture 73" descr="Sun rise logo Royalty Free Vector Image - VectorStock">
          <a:extLst>
            <a:ext uri="{FF2B5EF4-FFF2-40B4-BE49-F238E27FC236}">
              <a16:creationId xmlns:a16="http://schemas.microsoft.com/office/drawing/2014/main" id="{E4722FA6-CCD3-C5CB-B55B-E9074DDE1D6B}"/>
            </a:ext>
          </a:extLst>
        </xdr:cNvPr>
        <xdr:cNvPicPr>
          <a:picLocks noChangeAspect="1" noChangeArrowheads="1"/>
        </xdr:cNvPicPr>
      </xdr:nvPicPr>
      <xdr:blipFill rotWithShape="1">
        <a:blip xmlns:r="http://schemas.openxmlformats.org/officeDocument/2006/relationships" r:embed="rId23" cstate="print">
          <a:clrChange>
            <a:clrFrom>
              <a:srgbClr val="FFFFFF"/>
            </a:clrFrom>
            <a:clrTo>
              <a:srgbClr val="FFFFFF">
                <a:alpha val="0"/>
              </a:srgbClr>
            </a:clrTo>
          </a:clrChange>
          <a:extLst>
            <a:ext uri="{28A0092B-C50C-407E-A947-70E740481C1C}">
              <a14:useLocalDpi xmlns:a14="http://schemas.microsoft.com/office/drawing/2010/main" val="0"/>
            </a:ext>
          </a:extLst>
        </a:blip>
        <a:srcRect b="12103"/>
        <a:stretch>
          <a:fillRect/>
        </a:stretch>
      </xdr:blipFill>
      <xdr:spPr bwMode="auto">
        <a:xfrm>
          <a:off x="6503566" y="1865582"/>
          <a:ext cx="541704" cy="368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39650</xdr:colOff>
      <xdr:row>10</xdr:row>
      <xdr:rowOff>55909</xdr:rowOff>
    </xdr:from>
    <xdr:to>
      <xdr:col>14</xdr:col>
      <xdr:colOff>486340</xdr:colOff>
      <xdr:row>12</xdr:row>
      <xdr:rowOff>62144</xdr:rowOff>
    </xdr:to>
    <xdr:pic>
      <xdr:nvPicPr>
        <xdr:cNvPr id="75" name="Picture 74" descr="Sun Vector illustration Icon 9967049 Vector Art at Vecteezy">
          <a:extLst>
            <a:ext uri="{FF2B5EF4-FFF2-40B4-BE49-F238E27FC236}">
              <a16:creationId xmlns:a16="http://schemas.microsoft.com/office/drawing/2014/main" id="{5CE03D35-0C48-4045-BC3F-F7838D9AF39B}"/>
            </a:ext>
          </a:extLst>
        </xdr:cNvPr>
        <xdr:cNvPicPr>
          <a:picLocks noChangeAspect="1" noChangeArrowheads="1"/>
        </xdr:cNvPicPr>
      </xdr:nvPicPr>
      <xdr:blipFill rotWithShape="1">
        <a:blip xmlns:r="http://schemas.openxmlformats.org/officeDocument/2006/relationships" r:embed="rId24" cstate="print">
          <a:clrChange>
            <a:clrFrom>
              <a:srgbClr val="FFFFFF"/>
            </a:clrFrom>
            <a:clrTo>
              <a:srgbClr val="FFFFFF">
                <a:alpha val="0"/>
              </a:srgbClr>
            </a:clrTo>
          </a:clrChange>
          <a:extLst>
            <a:ext uri="{28A0092B-C50C-407E-A947-70E740481C1C}">
              <a14:useLocalDpi xmlns:a14="http://schemas.microsoft.com/office/drawing/2010/main" val="0"/>
            </a:ext>
          </a:extLst>
        </a:blip>
        <a:srcRect l="16840" t="28948" r="16048" b="15790"/>
        <a:stretch>
          <a:fillRect/>
        </a:stretch>
      </xdr:blipFill>
      <xdr:spPr bwMode="auto">
        <a:xfrm>
          <a:off x="8537887" y="1864045"/>
          <a:ext cx="446690" cy="3678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64.863635995367" createdVersion="8" refreshedVersion="8" minRefreshableVersion="3" recordCount="60" xr:uid="{EE74A1CC-7640-4095-A008-B315FF3B5DCD}">
  <cacheSource type="worksheet">
    <worksheetSource name="Weather"/>
  </cacheSource>
  <cacheFields count="25">
    <cacheField name="Date" numFmtId="14">
      <sharedItems containsSemiMixedTypes="0" containsNonDate="0" containsDate="1" containsString="0" minDate="2025-10-28T00:00:00" maxDate="2025-11-18T00:00:00" count="21">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02T00:00:00" u="1"/>
        <d v="2025-11-01T00:00:00" u="1"/>
        <d v="2025-10-31T00:00:00" u="1"/>
        <d v="2025-10-30T00:00:00" u="1"/>
        <d v="2025-10-29T00:00:00" u="1"/>
        <d v="2025-10-28T00:00:00" u="1"/>
      </sharedItems>
      <fieldGroup par="18"/>
    </cacheField>
    <cacheField name="Temp Max" numFmtId="0">
      <sharedItems containsSemiMixedTypes="0" containsString="0" containsNumber="1" minValue="26.5" maxValue="36"/>
    </cacheField>
    <cacheField name="Temp Min" numFmtId="0">
      <sharedItems containsSemiMixedTypes="0" containsString="0" containsNumber="1" minValue="19.5" maxValue="27.6"/>
    </cacheField>
    <cacheField name="Temp" numFmtId="0">
      <sharedItems containsSemiMixedTypes="0" containsString="0" containsNumber="1" minValue="22.8" maxValue="29.8"/>
    </cacheField>
    <cacheField name="Humidity" numFmtId="0">
      <sharedItems containsSemiMixedTypes="0" containsString="0" containsNumber="1" minValue="56.8" maxValue="86.1"/>
    </cacheField>
    <cacheField name="Precip" numFmtId="0">
      <sharedItems containsSemiMixedTypes="0" containsString="0" containsNumber="1" minValue="0" maxValue="21.6"/>
    </cacheField>
    <cacheField name="Precip Prob" numFmtId="0">
      <sharedItems containsSemiMixedTypes="0" containsString="0" containsNumber="1" minValue="0" maxValue="100"/>
    </cacheField>
    <cacheField name="Wind Gust" numFmtId="0">
      <sharedItems containsSemiMixedTypes="0" containsString="0" containsNumber="1" minValue="10.1" maxValue="41.8"/>
    </cacheField>
    <cacheField name="Wind Speed" numFmtId="0">
      <sharedItems containsSemiMixedTypes="0" containsString="0" containsNumber="1" minValue="7.2" maxValue="26.3"/>
    </cacheField>
    <cacheField name="Cloud Cover" numFmtId="0">
      <sharedItems containsSemiMixedTypes="0" containsString="0" containsNumber="1" minValue="13.2" maxValue="99.7"/>
    </cacheField>
    <cacheField name="UV Index" numFmtId="0">
      <sharedItems containsSemiMixedTypes="0" containsString="0" containsNumber="1" containsInteger="1" minValue="5" maxValue="9"/>
    </cacheField>
    <cacheField name="Sunrise" numFmtId="164">
      <sharedItems containsSemiMixedTypes="0" containsNonDate="0" containsDate="1" containsString="0" minDate="1899-12-30T06:01:37" maxDate="1899-12-30T06:18:54" count="83">
        <d v="1899-12-30T06:03:17"/>
        <d v="1899-12-30T06:03:36"/>
        <d v="1899-12-30T06:03:55"/>
        <d v="1899-12-30T06:04:15"/>
        <d v="1899-12-30T06:04:36"/>
        <d v="1899-12-30T06:04:58"/>
        <d v="1899-12-30T06:05:20"/>
        <d v="1899-12-30T06:05:42"/>
        <d v="1899-12-30T06:06:05"/>
        <d v="1899-12-30T06:06:29"/>
        <d v="1899-12-30T06:06:54"/>
        <d v="1899-12-30T06:07:19"/>
        <d v="1899-12-30T06:07:44"/>
        <d v="1899-12-30T06:08:11"/>
        <d v="1899-12-30T06:08:37"/>
        <d v="1899-12-30T06:14:13"/>
        <d v="1899-12-30T06:14:28"/>
        <d v="1899-12-30T06:14:45"/>
        <d v="1899-12-30T06:15:02"/>
        <d v="1899-12-30T06:15:20"/>
        <d v="1899-12-30T06:15:38"/>
        <d v="1899-12-30T06:15:58"/>
        <d v="1899-12-30T06:16:17"/>
        <d v="1899-12-30T06:16:38"/>
        <d v="1899-12-30T06:16:59"/>
        <d v="1899-12-30T06:17:21"/>
        <d v="1899-12-30T06:17:43"/>
        <d v="1899-12-30T06:18:06"/>
        <d v="1899-12-30T06:18:30"/>
        <d v="1899-12-30T06:18:54"/>
        <d v="1899-12-30T06:08:24"/>
        <d v="1899-12-30T06:08:38"/>
        <d v="1899-12-30T06:08:53"/>
        <d v="1899-12-30T06:09:09"/>
        <d v="1899-12-30T06:09:25"/>
        <d v="1899-12-30T06:09:42"/>
        <d v="1899-12-30T06:10:00"/>
        <d v="1899-12-30T06:10:18"/>
        <d v="1899-12-30T06:10:37"/>
        <d v="1899-12-30T06:10:57"/>
        <d v="1899-12-30T06:11:17"/>
        <d v="1899-12-30T06:11:38"/>
        <d v="1899-12-30T06:12:00"/>
        <d v="1899-12-30T06:12:22"/>
        <d v="1899-12-30T06:12:45"/>
        <d v="1899-12-30T06:07:04"/>
        <d v="1899-12-30T06:07:20"/>
        <d v="1899-12-30T06:07:36"/>
        <d v="1899-12-30T06:07:53"/>
        <d v="1899-12-30T06:08:10"/>
        <d v="1899-12-30T06:08:28"/>
        <d v="1899-12-30T06:08:47"/>
        <d v="1899-12-30T06:09:07"/>
        <d v="1899-12-30T06:09:27"/>
        <d v="1899-12-30T06:09:48"/>
        <d v="1899-12-30T06:10:09"/>
        <d v="1899-12-30T06:10:32"/>
        <d v="1899-12-30T06:10:54"/>
        <d v="1899-12-30T06:11:18"/>
        <d v="1899-12-30T06:11:42"/>
        <d v="1899-12-30T06:02:59" u="1"/>
        <d v="1899-12-30T06:13:58" u="1"/>
        <d v="1899-12-30T06:06:49" u="1"/>
        <d v="1899-12-30T06:02:41" u="1"/>
        <d v="1899-12-30T06:13:43" u="1"/>
        <d v="1899-12-30T06:07:57" u="1"/>
        <d v="1899-12-30T06:06:35" u="1"/>
        <d v="1899-12-30T06:02:24" u="1"/>
        <d v="1899-12-30T06:13:29" u="1"/>
        <d v="1899-12-30T06:07:45" u="1"/>
        <d v="1899-12-30T06:06:22" u="1"/>
        <d v="1899-12-30T06:02:08" u="1"/>
        <d v="1899-12-30T06:13:16" u="1"/>
        <d v="1899-12-30T06:07:34" u="1"/>
        <d v="1899-12-30T06:06:09" u="1"/>
        <d v="1899-12-30T06:01:52" u="1"/>
        <d v="1899-12-30T06:13:04" u="1"/>
        <d v="1899-12-30T06:07:23" u="1"/>
        <d v="1899-12-30T06:05:57" u="1"/>
        <d v="1899-12-30T06:01:37" u="1"/>
        <d v="1899-12-30T06:12:52" u="1"/>
        <d v="1899-12-30T06:07:13" u="1"/>
        <d v="1899-12-30T06:05:45" u="1"/>
      </sharedItems>
      <fieldGroup par="21"/>
    </cacheField>
    <cacheField name="Sunset" numFmtId="164">
      <sharedItems containsSemiMixedTypes="0" containsNonDate="0" containsDate="1" containsString="0" minDate="1899-12-30T17:39:03" maxDate="1899-12-30T17:58:54" count="81">
        <d v="1899-12-30T17:41:31"/>
        <d v="1899-12-30T17:41:13"/>
        <d v="1899-12-30T17:40:57"/>
        <d v="1899-12-30T17:40:41"/>
        <d v="1899-12-30T17:40:27"/>
        <d v="1899-12-30T17:40:13"/>
        <d v="1899-12-30T17:40:01"/>
        <d v="1899-12-30T17:39:50"/>
        <d v="1899-12-30T17:39:40"/>
        <d v="1899-12-30T17:39:31"/>
        <d v="1899-12-30T17:39:23"/>
        <d v="1899-12-30T17:39:16"/>
        <d v="1899-12-30T17:39:11"/>
        <d v="1899-12-30T17:39:06"/>
        <d v="1899-12-30T17:39:03"/>
        <d v="1899-12-30T17:57:06"/>
        <d v="1899-12-30T17:56:52"/>
        <d v="1899-12-30T17:56:38"/>
        <d v="1899-12-30T17:56:26"/>
        <d v="1899-12-30T17:56:14"/>
        <d v="1899-12-30T17:56:04"/>
        <d v="1899-12-30T17:55:54"/>
        <d v="1899-12-30T17:55:46"/>
        <d v="1899-12-30T17:55:39"/>
        <d v="1899-12-30T17:55:32"/>
        <d v="1899-12-30T17:55:27"/>
        <d v="1899-12-30T17:55:23"/>
        <d v="1899-12-30T17:55:20"/>
        <d v="1899-12-30T17:55:18"/>
        <d v="1899-12-30T17:53:41"/>
        <d v="1899-12-30T17:53:28"/>
        <d v="1899-12-30T17:53:16"/>
        <d v="1899-12-30T17:53:05"/>
        <d v="1899-12-30T17:52:55"/>
        <d v="1899-12-30T17:52:46"/>
        <d v="1899-12-30T17:52:38"/>
        <d v="1899-12-30T17:52:31"/>
        <d v="1899-12-30T17:52:25"/>
        <d v="1899-12-30T17:52:20"/>
        <d v="1899-12-30T17:52:16"/>
        <d v="1899-12-30T17:52:14"/>
        <d v="1899-12-30T17:52:12"/>
        <d v="1899-12-30T17:52:11"/>
        <d v="1899-12-30T17:50:24"/>
        <d v="1899-12-30T17:50:10"/>
        <d v="1899-12-30T17:49:56"/>
        <d v="1899-12-30T17:49:44"/>
        <d v="1899-12-30T17:49:33"/>
        <d v="1899-12-30T17:49:23"/>
        <d v="1899-12-30T17:49:13"/>
        <d v="1899-12-30T17:49:05"/>
        <d v="1899-12-30T17:48:58"/>
        <d v="1899-12-30T17:48:52"/>
        <d v="1899-12-30T17:48:47"/>
        <d v="1899-12-30T17:48:44"/>
        <d v="1899-12-30T17:48:41"/>
        <d v="1899-12-30T17:48:39"/>
        <d v="1899-12-30T17:41:50" u="1"/>
        <d v="1899-12-30T17:57:22" u="1"/>
        <d v="1899-12-30T17:53:55" u="1"/>
        <d v="1899-12-30T17:50:39" u="1"/>
        <d v="1899-12-30T17:42:09" u="1"/>
        <d v="1899-12-30T17:57:39" u="1"/>
        <d v="1899-12-30T17:54:10" u="1"/>
        <d v="1899-12-30T17:50:56" u="1"/>
        <d v="1899-12-30T17:42:30" u="1"/>
        <d v="1899-12-30T17:57:56" u="1"/>
        <d v="1899-12-30T17:54:26" u="1"/>
        <d v="1899-12-30T17:51:13" u="1"/>
        <d v="1899-12-30T17:42:52" u="1"/>
        <d v="1899-12-30T17:58:15" u="1"/>
        <d v="1899-12-30T17:54:43" u="1"/>
        <d v="1899-12-30T17:51:31" u="1"/>
        <d v="1899-12-30T17:43:14" u="1"/>
        <d v="1899-12-30T17:58:34" u="1"/>
        <d v="1899-12-30T17:55:00" u="1"/>
        <d v="1899-12-30T17:51:50" u="1"/>
        <d v="1899-12-30T17:43:38" u="1"/>
        <d v="1899-12-30T17:58:54" u="1"/>
        <d v="1899-12-30T17:55:19" u="1"/>
        <d v="1899-12-30T17:52:10" u="1"/>
      </sharedItems>
      <fieldGroup par="24"/>
    </cacheField>
    <cacheField name="Conditions" numFmtId="0">
      <sharedItems/>
    </cacheField>
    <cacheField name="Description" numFmtId="0">
      <sharedItems/>
    </cacheField>
    <cacheField name="Icon" numFmtId="0">
      <sharedItems/>
    </cacheField>
    <cacheField name="City" numFmtId="0">
      <sharedItems count="4">
        <s v="Chennai"/>
        <s v="Coimbatore"/>
        <s v="Madurai"/>
        <s v="Trichy"/>
      </sharedItems>
    </cacheField>
    <cacheField name="Days (Date)" numFmtId="0" databaseField="0">
      <fieldGroup base="0">
        <rangePr groupBy="days" startDate="2025-11-03T00:00:00" endDate="2025-11-18T00:00:00"/>
        <groupItems count="368">
          <s v="&lt;03-1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8-11-2025"/>
        </groupItems>
      </fieldGroup>
    </cacheField>
    <cacheField name="Months (Date)" numFmtId="0" databaseField="0">
      <fieldGroup base="0">
        <rangePr groupBy="months" startDate="2025-11-03T00:00:00" endDate="2025-11-18T00:00:00"/>
        <groupItems count="14">
          <s v="&lt;03-11-2025"/>
          <s v="Jan"/>
          <s v="Feb"/>
          <s v="Mar"/>
          <s v="Apr"/>
          <s v="May"/>
          <s v="Jun"/>
          <s v="Jul"/>
          <s v="Aug"/>
          <s v="Sep"/>
          <s v="Oct"/>
          <s v="Nov"/>
          <s v="Dec"/>
          <s v="&gt;18-11-2025"/>
        </groupItems>
      </fieldGroup>
    </cacheField>
    <cacheField name="Seconds (Sunrise)" numFmtId="0" databaseField="0">
      <fieldGroup base="11">
        <rangePr groupBy="seconds" startDate="1899-12-30T06:03:17" endDate="1899-12-30T06:18:54"/>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Minutes (Sunrise)" numFmtId="0" databaseField="0">
      <fieldGroup base="11">
        <rangePr groupBy="minutes" startDate="1899-12-30T06:03:17" endDate="1899-12-30T06:18:54"/>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unrise)" numFmtId="0" databaseField="0">
      <fieldGroup base="11">
        <rangePr groupBy="hours" startDate="1899-12-30T06:03:17" endDate="1899-12-30T06:18:54"/>
        <groupItems count="26">
          <s v="&lt;00-01-1900"/>
          <s v="00"/>
          <s v="01"/>
          <s v="02"/>
          <s v="03"/>
          <s v="04"/>
          <s v="05"/>
          <s v="06"/>
          <s v="07"/>
          <s v="08"/>
          <s v="09"/>
          <s v="10"/>
          <s v="11"/>
          <s v="12"/>
          <s v="13"/>
          <s v="14"/>
          <s v="15"/>
          <s v="16"/>
          <s v="17"/>
          <s v="18"/>
          <s v="19"/>
          <s v="20"/>
          <s v="21"/>
          <s v="22"/>
          <s v="23"/>
          <s v="&gt;00-01-1900"/>
        </groupItems>
      </fieldGroup>
    </cacheField>
    <cacheField name="Seconds (Sunset)" numFmtId="0" databaseField="0">
      <fieldGroup base="12">
        <rangePr groupBy="seconds" startDate="1899-12-30T17:39:03" endDate="1899-12-30T17:57:06"/>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Minutes (Sunset)" numFmtId="0" databaseField="0">
      <fieldGroup base="12">
        <rangePr groupBy="minutes" startDate="1899-12-30T17:39:03" endDate="1899-12-30T17:57:06"/>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unset)" numFmtId="0" databaseField="0">
      <fieldGroup base="12">
        <rangePr groupBy="hours" startDate="1899-12-30T17:39:03" endDate="1899-12-30T17:57:06"/>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pivotCacheId="14967545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n v="35"/>
    <n v="26"/>
    <n v="29.7"/>
    <n v="78.900000000000006"/>
    <n v="5"/>
    <n v="100"/>
    <n v="16.600000000000001"/>
    <n v="14.8"/>
    <n v="58.1"/>
    <n v="8"/>
    <x v="0"/>
    <x v="0"/>
    <s v="Rain, Partially cloudy"/>
    <s v="Partly cloudy throughout the day with storms possible."/>
    <s v="rain"/>
    <x v="0"/>
  </r>
  <r>
    <x v="1"/>
    <n v="31.7"/>
    <n v="27.6"/>
    <n v="29.2"/>
    <n v="69.3"/>
    <n v="10.4"/>
    <n v="100"/>
    <n v="20.2"/>
    <n v="19.399999999999999"/>
    <n v="65"/>
    <n v="8"/>
    <x v="1"/>
    <x v="1"/>
    <s v="Rain, Partially cloudy"/>
    <s v="Partly cloudy throughout the day with storms possible."/>
    <s v="rain"/>
    <x v="0"/>
  </r>
  <r>
    <x v="2"/>
    <n v="30.3"/>
    <n v="27"/>
    <n v="28.5"/>
    <n v="69.599999999999994"/>
    <n v="1.1000000000000001"/>
    <n v="74.2"/>
    <n v="15.1"/>
    <n v="14.8"/>
    <n v="74.400000000000006"/>
    <n v="8"/>
    <x v="2"/>
    <x v="2"/>
    <s v="Rain, Partially cloudy"/>
    <s v="Partly cloudy throughout the day with rain clearing later."/>
    <s v="rain"/>
    <x v="0"/>
  </r>
  <r>
    <x v="3"/>
    <n v="29.6"/>
    <n v="27.2"/>
    <n v="28.1"/>
    <n v="71.5"/>
    <n v="2.1"/>
    <n v="77.400000000000006"/>
    <n v="13.7"/>
    <n v="14.4"/>
    <n v="81.2"/>
    <n v="7"/>
    <x v="3"/>
    <x v="3"/>
    <s v="Rain, Partially cloudy"/>
    <s v="Partly cloudy throughout the day with rain in the morning and afternoon."/>
    <s v="rain"/>
    <x v="0"/>
  </r>
  <r>
    <x v="4"/>
    <n v="29.5"/>
    <n v="25.3"/>
    <n v="27.5"/>
    <n v="72.400000000000006"/>
    <n v="2.4"/>
    <n v="54.8"/>
    <n v="16.2"/>
    <n v="16.600000000000001"/>
    <n v="45.4"/>
    <n v="8"/>
    <x v="4"/>
    <x v="4"/>
    <s v="Rain, Partially cloudy"/>
    <s v="Partly cloudy throughout the day with early morning rain."/>
    <s v="rain"/>
    <x v="0"/>
  </r>
  <r>
    <x v="5"/>
    <n v="29.9"/>
    <n v="25.8"/>
    <n v="27.7"/>
    <n v="68"/>
    <n v="1.3"/>
    <n v="38.700000000000003"/>
    <n v="26.6"/>
    <n v="26.3"/>
    <n v="13.2"/>
    <n v="9"/>
    <x v="5"/>
    <x v="5"/>
    <s v="Clear"/>
    <s v="Clear conditions throughout the day."/>
    <s v="clear-day"/>
    <x v="0"/>
  </r>
  <r>
    <x v="6"/>
    <n v="28.9"/>
    <n v="23.6"/>
    <n v="26.5"/>
    <n v="62.8"/>
    <n v="0"/>
    <n v="29"/>
    <n v="27.4"/>
    <n v="23"/>
    <n v="47.2"/>
    <n v="8"/>
    <x v="6"/>
    <x v="6"/>
    <s v="Partially cloudy"/>
    <s v="Partly cloudy throughout the day."/>
    <s v="partly-cloudy-day"/>
    <x v="0"/>
  </r>
  <r>
    <x v="7"/>
    <n v="28.5"/>
    <n v="23.4"/>
    <n v="26.1"/>
    <n v="64.3"/>
    <n v="0"/>
    <n v="16.100000000000001"/>
    <n v="25.9"/>
    <n v="22"/>
    <n v="66.8"/>
    <n v="8"/>
    <x v="7"/>
    <x v="7"/>
    <s v="Partially cloudy"/>
    <s v="Partly cloudy throughout the day."/>
    <s v="partly-cloudy-day"/>
    <x v="0"/>
  </r>
  <r>
    <x v="8"/>
    <n v="28.8"/>
    <n v="23.2"/>
    <n v="26"/>
    <n v="60.5"/>
    <n v="0"/>
    <n v="6.5"/>
    <n v="24.5"/>
    <n v="20.5"/>
    <n v="32.200000000000003"/>
    <n v="8"/>
    <x v="8"/>
    <x v="8"/>
    <s v="Partially cloudy"/>
    <s v="Partly cloudy throughout the day."/>
    <s v="partly-cloudy-day"/>
    <x v="0"/>
  </r>
  <r>
    <x v="9"/>
    <n v="28.4"/>
    <n v="23.1"/>
    <n v="25.9"/>
    <n v="60.1"/>
    <n v="0"/>
    <n v="0"/>
    <n v="25"/>
    <n v="22"/>
    <n v="26"/>
    <n v="8"/>
    <x v="9"/>
    <x v="9"/>
    <s v="Partially cloudy"/>
    <s v="Partly cloudy throughout the day."/>
    <s v="partly-cloudy-day"/>
    <x v="0"/>
  </r>
  <r>
    <x v="10"/>
    <n v="28.2"/>
    <n v="23.4"/>
    <n v="25.9"/>
    <n v="62"/>
    <n v="0"/>
    <n v="9.6999999999999993"/>
    <n v="25.2"/>
    <n v="22"/>
    <n v="91.1"/>
    <n v="8"/>
    <x v="10"/>
    <x v="10"/>
    <s v="Overcast"/>
    <s v="Cloudy skies throughout the day."/>
    <s v="cloudy"/>
    <x v="0"/>
  </r>
  <r>
    <x v="11"/>
    <n v="27.9"/>
    <n v="22.8"/>
    <n v="25.5"/>
    <n v="64.3"/>
    <n v="0"/>
    <n v="6.5"/>
    <n v="22"/>
    <n v="19.8"/>
    <n v="98.5"/>
    <n v="7"/>
    <x v="11"/>
    <x v="11"/>
    <s v="Overcast"/>
    <s v="Cloudy skies throughout the day."/>
    <s v="cloudy"/>
    <x v="0"/>
  </r>
  <r>
    <x v="12"/>
    <n v="27.8"/>
    <n v="22.6"/>
    <n v="25.4"/>
    <n v="63"/>
    <n v="0.1"/>
    <n v="16.100000000000001"/>
    <n v="19.8"/>
    <n v="18.399999999999999"/>
    <n v="96.3"/>
    <n v="8"/>
    <x v="12"/>
    <x v="12"/>
    <s v="Overcast"/>
    <s v="Cloudy skies throughout the day."/>
    <s v="cloudy"/>
    <x v="0"/>
  </r>
  <r>
    <x v="13"/>
    <n v="28.2"/>
    <n v="22.3"/>
    <n v="25.4"/>
    <n v="56.8"/>
    <n v="0"/>
    <n v="16.100000000000001"/>
    <n v="22.3"/>
    <n v="19.100000000000001"/>
    <n v="13.4"/>
    <n v="8"/>
    <x v="13"/>
    <x v="13"/>
    <s v="Clear"/>
    <s v="Clear conditions throughout the day."/>
    <s v="clear-day"/>
    <x v="0"/>
  </r>
  <r>
    <x v="14"/>
    <n v="27.3"/>
    <n v="21.7"/>
    <n v="25"/>
    <n v="59.3"/>
    <n v="0"/>
    <n v="16.100000000000001"/>
    <n v="22"/>
    <n v="20.5"/>
    <n v="26.1"/>
    <n v="8"/>
    <x v="14"/>
    <x v="14"/>
    <s v="Partially cloudy"/>
    <s v="Partly cloudy throughout the day."/>
    <s v="partly-cloudy-day"/>
    <x v="0"/>
  </r>
  <r>
    <x v="0"/>
    <n v="33"/>
    <n v="22"/>
    <n v="26.1"/>
    <n v="77.8"/>
    <n v="1.2"/>
    <n v="100"/>
    <n v="27.4"/>
    <n v="18.399999999999999"/>
    <n v="47.7"/>
    <n v="9"/>
    <x v="15"/>
    <x v="15"/>
    <s v="Rain, Partially cloudy"/>
    <s v="Partly cloudy throughout the day with storms possible."/>
    <s v="rain"/>
    <x v="1"/>
  </r>
  <r>
    <x v="1"/>
    <n v="28.3"/>
    <n v="21.2"/>
    <n v="24"/>
    <n v="84.5"/>
    <n v="2.6"/>
    <n v="96.8"/>
    <n v="24.8"/>
    <n v="14.8"/>
    <n v="90.2"/>
    <n v="8"/>
    <x v="16"/>
    <x v="16"/>
    <s v="Rain, Overcast"/>
    <s v="Cloudy skies throughout the day with storms possible."/>
    <s v="rain"/>
    <x v="1"/>
  </r>
  <r>
    <x v="2"/>
    <n v="29.4"/>
    <n v="21.5"/>
    <n v="24.4"/>
    <n v="82.6"/>
    <n v="6.1"/>
    <n v="96.8"/>
    <n v="28.1"/>
    <n v="18"/>
    <n v="55.8"/>
    <n v="9"/>
    <x v="17"/>
    <x v="17"/>
    <s v="Rain, Partially cloudy"/>
    <s v="Partly cloudy throughout the day with storms possible."/>
    <s v="rain"/>
    <x v="1"/>
  </r>
  <r>
    <x v="3"/>
    <n v="26.5"/>
    <n v="21"/>
    <n v="22.8"/>
    <n v="86.1"/>
    <n v="2"/>
    <n v="48.4"/>
    <n v="28.4"/>
    <n v="16.600000000000001"/>
    <n v="94.1"/>
    <n v="5"/>
    <x v="18"/>
    <x v="18"/>
    <s v="Rain, Overcast"/>
    <s v="Cloudy skies throughout the day with early morning rain."/>
    <s v="rain"/>
    <x v="1"/>
  </r>
  <r>
    <x v="4"/>
    <n v="27.8"/>
    <n v="20.399999999999999"/>
    <n v="22.8"/>
    <n v="83.2"/>
    <n v="8.9"/>
    <n v="12.9"/>
    <n v="22.3"/>
    <n v="13.3"/>
    <n v="66.5"/>
    <n v="8"/>
    <x v="19"/>
    <x v="19"/>
    <s v="Partially cloudy"/>
    <s v="Partly cloudy throughout the day."/>
    <s v="partly-cloudy-day"/>
    <x v="1"/>
  </r>
  <r>
    <x v="5"/>
    <n v="28.5"/>
    <n v="20.7"/>
    <n v="23.8"/>
    <n v="80.2"/>
    <n v="16.899999999999999"/>
    <n v="48.4"/>
    <n v="19.100000000000001"/>
    <n v="10.8"/>
    <n v="77.599999999999994"/>
    <n v="9"/>
    <x v="20"/>
    <x v="20"/>
    <s v="Rain, Partially cloudy"/>
    <s v="Partly cloudy throughout the day with a chance of rain."/>
    <s v="rain"/>
    <x v="1"/>
  </r>
  <r>
    <x v="6"/>
    <n v="28.4"/>
    <n v="22.4"/>
    <n v="24.7"/>
    <n v="80"/>
    <n v="8.6"/>
    <n v="67.7"/>
    <n v="14.4"/>
    <n v="12.6"/>
    <n v="57.2"/>
    <n v="7"/>
    <x v="21"/>
    <x v="21"/>
    <s v="Rain, Partially cloudy"/>
    <s v="Partly cloudy throughout the day with a chance of rain throughout the day."/>
    <s v="rain"/>
    <x v="1"/>
  </r>
  <r>
    <x v="7"/>
    <n v="27.1"/>
    <n v="20.9"/>
    <n v="23.8"/>
    <n v="73.7"/>
    <n v="0.4"/>
    <n v="71"/>
    <n v="14.8"/>
    <n v="10.8"/>
    <n v="81.400000000000006"/>
    <n v="8"/>
    <x v="22"/>
    <x v="22"/>
    <s v="Rain, Partially cloudy"/>
    <s v="Partly cloudy throughout the day with early morning rain."/>
    <s v="rain"/>
    <x v="1"/>
  </r>
  <r>
    <x v="8"/>
    <n v="27.3"/>
    <n v="20.399999999999999"/>
    <n v="23.6"/>
    <n v="75"/>
    <n v="0.3"/>
    <n v="71"/>
    <n v="11.9"/>
    <n v="10.8"/>
    <n v="73.099999999999994"/>
    <n v="9"/>
    <x v="23"/>
    <x v="23"/>
    <s v="Rain, Partially cloudy"/>
    <s v="Partly cloudy throughout the day with a chance of rain."/>
    <s v="rain"/>
    <x v="1"/>
  </r>
  <r>
    <x v="9"/>
    <n v="27.8"/>
    <n v="20.2"/>
    <n v="23.6"/>
    <n v="77.2"/>
    <n v="0.1"/>
    <n v="45.2"/>
    <n v="12.2"/>
    <n v="10.1"/>
    <n v="55.8"/>
    <n v="8"/>
    <x v="24"/>
    <x v="24"/>
    <s v="Rain, Partially cloudy"/>
    <s v="Partly cloudy throughout the day with a chance of rain."/>
    <s v="rain"/>
    <x v="1"/>
  </r>
  <r>
    <x v="10"/>
    <n v="27.6"/>
    <n v="20.399999999999999"/>
    <n v="23.3"/>
    <n v="79.599999999999994"/>
    <n v="0.1"/>
    <n v="38.700000000000003"/>
    <n v="18.399999999999999"/>
    <n v="11.9"/>
    <n v="89.4"/>
    <n v="8"/>
    <x v="25"/>
    <x v="25"/>
    <s v="Partially cloudy"/>
    <s v="Partly cloudy throughout the day."/>
    <s v="partly-cloudy-day"/>
    <x v="1"/>
  </r>
  <r>
    <x v="11"/>
    <n v="27.1"/>
    <n v="20.100000000000001"/>
    <n v="23.3"/>
    <n v="78.900000000000006"/>
    <n v="0.2"/>
    <n v="19.399999999999999"/>
    <n v="10.8"/>
    <n v="10.4"/>
    <n v="98.1"/>
    <n v="7"/>
    <x v="26"/>
    <x v="26"/>
    <s v="Overcast"/>
    <s v="Cloudy skies throughout the day."/>
    <s v="cloudy"/>
    <x v="1"/>
  </r>
  <r>
    <x v="12"/>
    <n v="27.2"/>
    <n v="20.2"/>
    <n v="23.4"/>
    <n v="74.3"/>
    <n v="0.3"/>
    <n v="9.6999999999999993"/>
    <n v="15.1"/>
    <n v="9.4"/>
    <n v="78.400000000000006"/>
    <n v="9"/>
    <x v="27"/>
    <x v="27"/>
    <s v="Partially cloudy"/>
    <s v="Partly cloudy throughout the day."/>
    <s v="partly-cloudy-day"/>
    <x v="1"/>
  </r>
  <r>
    <x v="13"/>
    <n v="27.2"/>
    <n v="19.5"/>
    <n v="23.1"/>
    <n v="74"/>
    <n v="0.1"/>
    <n v="16.100000000000001"/>
    <n v="13.3"/>
    <n v="9.6999999999999993"/>
    <n v="72.599999999999994"/>
    <n v="9"/>
    <x v="28"/>
    <x v="28"/>
    <s v="Partially cloudy"/>
    <s v="Partly cloudy throughout the day."/>
    <s v="partly-cloudy-day"/>
    <x v="1"/>
  </r>
  <r>
    <x v="14"/>
    <n v="27.4"/>
    <n v="20.3"/>
    <n v="23.6"/>
    <n v="70.3"/>
    <n v="0"/>
    <n v="19.399999999999999"/>
    <n v="15.5"/>
    <n v="9.6999999999999993"/>
    <n v="50.7"/>
    <n v="9"/>
    <x v="29"/>
    <x v="28"/>
    <s v="Partially cloudy"/>
    <s v="Partly cloudy throughout the day."/>
    <s v="partly-cloudy-day"/>
    <x v="1"/>
  </r>
  <r>
    <x v="0"/>
    <n v="36"/>
    <n v="25"/>
    <n v="29.7"/>
    <n v="65.8"/>
    <n v="1.8"/>
    <n v="38.700000000000003"/>
    <n v="13.3"/>
    <n v="14.8"/>
    <n v="45.1"/>
    <n v="9"/>
    <x v="30"/>
    <x v="29"/>
    <s v="Partially cloudy"/>
    <s v="Partly cloudy throughout the day."/>
    <s v="partly-cloudy-day"/>
    <x v="2"/>
  </r>
  <r>
    <x v="1"/>
    <n v="31.1"/>
    <n v="24"/>
    <n v="27.1"/>
    <n v="71.7"/>
    <n v="2"/>
    <n v="67.7"/>
    <n v="16.600000000000001"/>
    <n v="11.9"/>
    <n v="99.7"/>
    <n v="7"/>
    <x v="31"/>
    <x v="30"/>
    <s v="Rain, Overcast"/>
    <s v="Cloudy skies throughout the day with storms possible."/>
    <s v="rain"/>
    <x v="2"/>
  </r>
  <r>
    <x v="2"/>
    <n v="31.4"/>
    <n v="23.4"/>
    <n v="26.7"/>
    <n v="75"/>
    <n v="21.6"/>
    <n v="96.8"/>
    <n v="10.4"/>
    <n v="11.2"/>
    <n v="73.099999999999994"/>
    <n v="9"/>
    <x v="32"/>
    <x v="31"/>
    <s v="Rain, Partially cloudy"/>
    <s v="Partly cloudy throughout the day with storms possible."/>
    <s v="rain"/>
    <x v="2"/>
  </r>
  <r>
    <x v="3"/>
    <n v="29.4"/>
    <n v="21.7"/>
    <n v="25"/>
    <n v="75.599999999999994"/>
    <n v="7.1"/>
    <n v="77.400000000000006"/>
    <n v="21.6"/>
    <n v="12.2"/>
    <n v="92.8"/>
    <n v="9"/>
    <x v="33"/>
    <x v="32"/>
    <s v="Rain, Overcast"/>
    <s v="Cloudy skies throughout the day with early morning rain."/>
    <s v="rain"/>
    <x v="2"/>
  </r>
  <r>
    <x v="4"/>
    <n v="31"/>
    <n v="23.4"/>
    <n v="26.3"/>
    <n v="72.099999999999994"/>
    <n v="3.4"/>
    <n v="16.100000000000001"/>
    <n v="13.3"/>
    <n v="9.4"/>
    <n v="49.9"/>
    <n v="9"/>
    <x v="34"/>
    <x v="33"/>
    <s v="Partially cloudy"/>
    <s v="Partly cloudy throughout the day."/>
    <s v="partly-cloudy-day"/>
    <x v="2"/>
  </r>
  <r>
    <x v="5"/>
    <n v="30.5"/>
    <n v="22.9"/>
    <n v="26"/>
    <n v="74.099999999999994"/>
    <n v="8.1"/>
    <n v="45.2"/>
    <n v="10.8"/>
    <n v="9"/>
    <n v="55.3"/>
    <n v="9"/>
    <x v="35"/>
    <x v="34"/>
    <s v="Rain, Partially cloudy"/>
    <s v="Partly cloudy throughout the day with late afternoon rain."/>
    <s v="rain"/>
    <x v="2"/>
  </r>
  <r>
    <x v="6"/>
    <n v="28.4"/>
    <n v="23.9"/>
    <n v="26"/>
    <n v="78.599999999999994"/>
    <n v="18.899999999999999"/>
    <n v="64.5"/>
    <n v="12.8"/>
    <n v="8.5"/>
    <n v="64.3"/>
    <n v="8"/>
    <x v="36"/>
    <x v="35"/>
    <s v="Rain, Partially cloudy"/>
    <s v="Partly cloudy throughout the day with storms possible."/>
    <s v="rain"/>
    <x v="2"/>
  </r>
  <r>
    <x v="7"/>
    <n v="28.3"/>
    <n v="23.1"/>
    <n v="25.6"/>
    <n v="73.8"/>
    <n v="1.6"/>
    <n v="77.400000000000006"/>
    <n v="15.5"/>
    <n v="9.4"/>
    <n v="80.099999999999994"/>
    <n v="7"/>
    <x v="37"/>
    <x v="36"/>
    <s v="Rain, Partially cloudy"/>
    <s v="Partly cloudy throughout the day with a chance of rain throughout the day."/>
    <s v="rain"/>
    <x v="2"/>
  </r>
  <r>
    <x v="8"/>
    <n v="28.9"/>
    <n v="23.8"/>
    <n v="25.7"/>
    <n v="75.599999999999994"/>
    <n v="1.4"/>
    <n v="61.3"/>
    <n v="10.1"/>
    <n v="8.6"/>
    <n v="89"/>
    <n v="7"/>
    <x v="38"/>
    <x v="37"/>
    <s v="Rain, Partially cloudy"/>
    <s v="Partly cloudy throughout the day with a chance of rain throughout the day."/>
    <s v="rain"/>
    <x v="2"/>
  </r>
  <r>
    <x v="9"/>
    <n v="28.6"/>
    <n v="23.2"/>
    <n v="25.5"/>
    <n v="75.5"/>
    <n v="1.4"/>
    <n v="58.1"/>
    <n v="10.1"/>
    <n v="7.2"/>
    <n v="83.1"/>
    <n v="6"/>
    <x v="39"/>
    <x v="38"/>
    <s v="Rain, Partially cloudy"/>
    <s v="Partly cloudy throughout the day with rain clearing later."/>
    <s v="rain"/>
    <x v="2"/>
  </r>
  <r>
    <x v="10"/>
    <n v="28.4"/>
    <n v="23.1"/>
    <n v="25"/>
    <n v="71.400000000000006"/>
    <n v="0.1"/>
    <n v="32.299999999999997"/>
    <n v="13"/>
    <n v="13"/>
    <n v="97.7"/>
    <n v="7"/>
    <x v="40"/>
    <x v="39"/>
    <s v="Overcast"/>
    <s v="Cloudy skies throughout the day."/>
    <s v="cloudy"/>
    <x v="2"/>
  </r>
  <r>
    <x v="11"/>
    <n v="28"/>
    <n v="21.9"/>
    <n v="24.5"/>
    <n v="70.3"/>
    <n v="0"/>
    <n v="12.9"/>
    <n v="12.2"/>
    <n v="9.6999999999999993"/>
    <n v="99.7"/>
    <n v="7"/>
    <x v="41"/>
    <x v="40"/>
    <s v="Overcast"/>
    <s v="Cloudy skies throughout the day."/>
    <s v="cloudy"/>
    <x v="2"/>
  </r>
  <r>
    <x v="12"/>
    <n v="28.7"/>
    <n v="21.3"/>
    <n v="24.6"/>
    <n v="67.5"/>
    <n v="0"/>
    <n v="12.9"/>
    <n v="15.6"/>
    <n v="9.6999999999999993"/>
    <n v="72.400000000000006"/>
    <n v="7"/>
    <x v="42"/>
    <x v="41"/>
    <s v="Partially cloudy"/>
    <s v="Becoming cloudy in the afternoon."/>
    <s v="partly-cloudy-day"/>
    <x v="2"/>
  </r>
  <r>
    <x v="13"/>
    <n v="28.7"/>
    <n v="22.1"/>
    <n v="24.9"/>
    <n v="66.900000000000006"/>
    <n v="0.1"/>
    <n v="9.6999999999999993"/>
    <n v="15.8"/>
    <n v="9.4"/>
    <n v="78.900000000000006"/>
    <n v="8"/>
    <x v="43"/>
    <x v="42"/>
    <s v="Partially cloudy"/>
    <s v="Partly cloudy throughout the day."/>
    <s v="partly-cloudy-day"/>
    <x v="2"/>
  </r>
  <r>
    <x v="14"/>
    <n v="29.1"/>
    <n v="21.4"/>
    <n v="24.9"/>
    <n v="65.8"/>
    <n v="0.1"/>
    <n v="16.100000000000001"/>
    <n v="14.2"/>
    <n v="8.9"/>
    <n v="45.7"/>
    <n v="9"/>
    <x v="44"/>
    <x v="41"/>
    <s v="Partially cloudy"/>
    <s v="Partly cloudy throughout the day."/>
    <s v="partly-cloudy-day"/>
    <x v="2"/>
  </r>
  <r>
    <x v="0"/>
    <n v="36"/>
    <n v="25"/>
    <n v="29.8"/>
    <n v="73.8"/>
    <n v="1.8"/>
    <n v="100"/>
    <n v="31"/>
    <n v="22.3"/>
    <n v="44.6"/>
    <n v="9"/>
    <x v="45"/>
    <x v="43"/>
    <s v="Rain, Partially cloudy"/>
    <s v="Partly cloudy throughout the day with storms possible."/>
    <s v="rain"/>
    <x v="3"/>
  </r>
  <r>
    <x v="1"/>
    <n v="31.1"/>
    <n v="23.9"/>
    <n v="27"/>
    <n v="74.599999999999994"/>
    <n v="0.6"/>
    <n v="90.3"/>
    <n v="41.8"/>
    <n v="25.9"/>
    <n v="99"/>
    <n v="7"/>
    <x v="46"/>
    <x v="44"/>
    <s v="Rain, Overcast"/>
    <s v="Cloudy skies throughout the day with storms possible."/>
    <s v="rain"/>
    <x v="3"/>
  </r>
  <r>
    <x v="2"/>
    <n v="32.700000000000003"/>
    <n v="24.1"/>
    <n v="27"/>
    <n v="75.900000000000006"/>
    <n v="14"/>
    <n v="83.9"/>
    <n v="38.200000000000003"/>
    <n v="17.600000000000001"/>
    <n v="85"/>
    <n v="9"/>
    <x v="47"/>
    <x v="45"/>
    <s v="Rain, Partially cloudy"/>
    <s v="Partly cloudy throughout the day with storms possible."/>
    <s v="rain"/>
    <x v="3"/>
  </r>
  <r>
    <x v="3"/>
    <n v="30.9"/>
    <n v="22.8"/>
    <n v="26"/>
    <n v="78.7"/>
    <n v="18.3"/>
    <n v="64.5"/>
    <n v="38.9"/>
    <n v="22"/>
    <n v="87.6"/>
    <n v="9"/>
    <x v="48"/>
    <x v="46"/>
    <s v="Rain, Partially cloudy"/>
    <s v="Partly cloudy throughout the day with storms possible."/>
    <s v="rain"/>
    <x v="3"/>
  </r>
  <r>
    <x v="4"/>
    <n v="31.4"/>
    <n v="22.3"/>
    <n v="26.2"/>
    <n v="77"/>
    <n v="3.2"/>
    <n v="38.700000000000003"/>
    <n v="41.4"/>
    <n v="21.2"/>
    <n v="39.4"/>
    <n v="9"/>
    <x v="49"/>
    <x v="47"/>
    <s v="Partially cloudy"/>
    <s v="Partly cloudy throughout the day with storms possible."/>
    <s v="partly-cloudy-day"/>
    <x v="3"/>
  </r>
  <r>
    <x v="5"/>
    <n v="29.8"/>
    <n v="22.6"/>
    <n v="25.7"/>
    <n v="80.5"/>
    <n v="16.100000000000001"/>
    <n v="54.8"/>
    <n v="24.1"/>
    <n v="13.3"/>
    <n v="42.6"/>
    <n v="9"/>
    <x v="50"/>
    <x v="48"/>
    <s v="Rain, Partially cloudy"/>
    <s v="Clearing in the afternoon with storms possible."/>
    <s v="rain"/>
    <x v="3"/>
  </r>
  <r>
    <x v="6"/>
    <n v="30.5"/>
    <n v="23.3"/>
    <n v="26.1"/>
    <n v="74.2"/>
    <n v="3.4"/>
    <n v="54.8"/>
    <n v="24.5"/>
    <n v="13.3"/>
    <n v="90.5"/>
    <n v="8"/>
    <x v="51"/>
    <x v="49"/>
    <s v="Rain, Overcast"/>
    <s v="Cloudy skies throughout the day with early morning rain."/>
    <s v="rain"/>
    <x v="3"/>
  </r>
  <r>
    <x v="7"/>
    <n v="29.7"/>
    <n v="21.3"/>
    <n v="24.9"/>
    <n v="67.8"/>
    <n v="0"/>
    <n v="35.5"/>
    <n v="23"/>
    <n v="11.9"/>
    <n v="52.6"/>
    <n v="9"/>
    <x v="52"/>
    <x v="50"/>
    <s v="Partially cloudy"/>
    <s v="Partly cloudy throughout the day."/>
    <s v="partly-cloudy-day"/>
    <x v="3"/>
  </r>
  <r>
    <x v="8"/>
    <n v="30.1"/>
    <n v="21.5"/>
    <n v="25.4"/>
    <n v="69.5"/>
    <n v="0"/>
    <n v="19.399999999999999"/>
    <n v="22.3"/>
    <n v="12.6"/>
    <n v="58.9"/>
    <n v="8"/>
    <x v="53"/>
    <x v="51"/>
    <s v="Partially cloudy"/>
    <s v="Partly cloudy throughout the day."/>
    <s v="partly-cloudy-day"/>
    <x v="3"/>
  </r>
  <r>
    <x v="9"/>
    <n v="29.5"/>
    <n v="21.6"/>
    <n v="25.1"/>
    <n v="68.5"/>
    <n v="0"/>
    <n v="12.9"/>
    <n v="19.8"/>
    <n v="13"/>
    <n v="59.6"/>
    <n v="8"/>
    <x v="54"/>
    <x v="52"/>
    <s v="Partially cloudy"/>
    <s v="Partly cloudy throughout the day."/>
    <s v="partly-cloudy-day"/>
    <x v="3"/>
  </r>
  <r>
    <x v="10"/>
    <n v="29.4"/>
    <n v="21.5"/>
    <n v="24.7"/>
    <n v="68.3"/>
    <n v="0"/>
    <n v="6.5"/>
    <n v="22.7"/>
    <n v="17.600000000000001"/>
    <n v="72.7"/>
    <n v="8"/>
    <x v="55"/>
    <x v="53"/>
    <s v="Partially cloudy"/>
    <s v="Partly cloudy throughout the day."/>
    <s v="partly-cloudy-day"/>
    <x v="3"/>
  </r>
  <r>
    <x v="11"/>
    <n v="29.2"/>
    <n v="21.4"/>
    <n v="24.5"/>
    <n v="67"/>
    <n v="0"/>
    <n v="3.2"/>
    <n v="25.6"/>
    <n v="17.3"/>
    <n v="80.599999999999994"/>
    <n v="8"/>
    <x v="56"/>
    <x v="54"/>
    <s v="Partially cloudy"/>
    <s v="Partly cloudy throughout the day."/>
    <s v="partly-cloudy-day"/>
    <x v="3"/>
  </r>
  <r>
    <x v="12"/>
    <n v="29.3"/>
    <n v="20.6"/>
    <n v="24.1"/>
    <n v="69.099999999999994"/>
    <n v="0"/>
    <n v="6.5"/>
    <n v="28.1"/>
    <n v="17.3"/>
    <n v="56.1"/>
    <n v="9"/>
    <x v="57"/>
    <x v="55"/>
    <s v="Partially cloudy"/>
    <s v="Partly cloudy throughout the day."/>
    <s v="partly-cloudy-day"/>
    <x v="3"/>
  </r>
  <r>
    <x v="13"/>
    <n v="29.5"/>
    <n v="20"/>
    <n v="23.9"/>
    <n v="68.599999999999994"/>
    <n v="0"/>
    <n v="9.6999999999999993"/>
    <n v="26.3"/>
    <n v="13.7"/>
    <n v="42.5"/>
    <n v="9"/>
    <x v="58"/>
    <x v="56"/>
    <s v="Partially cloudy"/>
    <s v="Partly cloudy throughout the day."/>
    <s v="partly-cloudy-day"/>
    <x v="3"/>
  </r>
  <r>
    <x v="14"/>
    <n v="29.3"/>
    <n v="19.7"/>
    <n v="23.6"/>
    <n v="64.5"/>
    <n v="0"/>
    <n v="16.100000000000001"/>
    <n v="27.4"/>
    <n v="15.1"/>
    <n v="24.6"/>
    <n v="9"/>
    <x v="59"/>
    <x v="56"/>
    <s v="Partially cloudy"/>
    <s v="Partly cloudy throughout the day."/>
    <s v="partly-cloudy-day"/>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693DB1-3EB2-42E6-AD8A-9B85E00830EF}" name="Cloudcover"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4">
        <item m="1" x="79"/>
        <item m="1" x="75"/>
        <item m="1" x="71"/>
        <item m="1" x="67"/>
        <item m="1" x="63"/>
        <item m="1" x="60"/>
        <item x="0"/>
        <item x="1"/>
        <item x="2"/>
        <item x="3"/>
        <item x="4"/>
        <item x="5"/>
        <item x="6"/>
        <item x="7"/>
        <item m="1" x="82"/>
        <item m="1" x="78"/>
        <item x="8"/>
        <item m="1" x="74"/>
        <item m="1" x="70"/>
        <item x="9"/>
        <item m="1" x="66"/>
        <item m="1" x="62"/>
        <item x="10"/>
        <item x="45"/>
        <item m="1" x="81"/>
        <item x="11"/>
        <item x="46"/>
        <item m="1" x="77"/>
        <item m="1" x="73"/>
        <item x="47"/>
        <item m="1" x="69"/>
        <item x="48"/>
        <item m="1" x="65"/>
        <item x="49"/>
        <item x="30"/>
        <item x="50"/>
        <item x="31"/>
        <item x="51"/>
        <item x="32"/>
        <item x="52"/>
        <item x="33"/>
        <item x="34"/>
        <item x="53"/>
        <item x="35"/>
        <item x="54"/>
        <item x="36"/>
        <item x="55"/>
        <item x="37"/>
        <item x="56"/>
        <item x="38"/>
        <item x="39"/>
        <item x="40"/>
        <item x="41"/>
        <item m="1" x="80"/>
        <item m="1" x="76"/>
        <item m="1" x="72"/>
        <item m="1" x="68"/>
        <item m="1" x="64"/>
        <item m="1" x="61"/>
        <item x="15"/>
        <item x="16"/>
        <item x="17"/>
        <item x="18"/>
        <item x="19"/>
        <item x="20"/>
        <item x="21"/>
        <item x="22"/>
        <item x="23"/>
        <item x="24"/>
        <item x="25"/>
        <item x="26"/>
        <item x="12"/>
        <item x="27"/>
        <item x="42"/>
        <item x="57"/>
        <item x="13"/>
        <item x="28"/>
        <item x="43"/>
        <item x="58"/>
        <item x="14"/>
        <item x="29"/>
        <item x="44"/>
        <item x="59"/>
        <item t="default"/>
      </items>
    </pivotField>
    <pivotField numFmtId="164" showAll="0">
      <items count="82">
        <item x="11"/>
        <item x="10"/>
        <item x="9"/>
        <item x="8"/>
        <item x="7"/>
        <item x="6"/>
        <item x="5"/>
        <item x="4"/>
        <item x="3"/>
        <item x="2"/>
        <item x="1"/>
        <item x="0"/>
        <item m="1" x="57"/>
        <item m="1" x="61"/>
        <item m="1" x="65"/>
        <item m="1" x="69"/>
        <item m="1" x="73"/>
        <item m="1" x="77"/>
        <item x="54"/>
        <item x="53"/>
        <item x="52"/>
        <item x="51"/>
        <item x="50"/>
        <item x="49"/>
        <item x="48"/>
        <item x="47"/>
        <item x="46"/>
        <item x="45"/>
        <item x="44"/>
        <item x="43"/>
        <item m="1" x="60"/>
        <item m="1" x="64"/>
        <item m="1" x="68"/>
        <item m="1" x="72"/>
        <item m="1" x="76"/>
        <item m="1" x="80"/>
        <item x="40"/>
        <item x="39"/>
        <item x="38"/>
        <item x="37"/>
        <item x="36"/>
        <item x="35"/>
        <item x="34"/>
        <item x="33"/>
        <item x="32"/>
        <item x="31"/>
        <item x="30"/>
        <item x="29"/>
        <item m="1" x="59"/>
        <item m="1" x="63"/>
        <item m="1" x="67"/>
        <item m="1" x="71"/>
        <item m="1" x="75"/>
        <item m="1" x="79"/>
        <item x="26"/>
        <item x="25"/>
        <item x="24"/>
        <item x="23"/>
        <item x="22"/>
        <item x="21"/>
        <item x="20"/>
        <item x="19"/>
        <item x="18"/>
        <item x="17"/>
        <item x="16"/>
        <item x="15"/>
        <item m="1" x="58"/>
        <item m="1" x="62"/>
        <item m="1" x="66"/>
        <item m="1" x="70"/>
        <item m="1" x="74"/>
        <item m="1" x="78"/>
        <item x="12"/>
        <item x="27"/>
        <item x="41"/>
        <item x="55"/>
        <item x="13"/>
        <item x="28"/>
        <item x="42"/>
        <item x="56"/>
        <item x="14"/>
        <item t="default"/>
      </items>
    </pivotField>
    <pivotField showAll="0"/>
    <pivotField showAll="0"/>
    <pivotField showAll="0"/>
    <pivotField showAll="0"/>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6"/>
    </i>
    <i>
      <x v="7"/>
    </i>
    <i>
      <x v="8"/>
    </i>
    <i>
      <x v="9"/>
    </i>
    <i>
      <x v="10"/>
    </i>
    <i>
      <x v="11"/>
    </i>
    <i>
      <x v="12"/>
    </i>
    <i>
      <x v="13"/>
    </i>
    <i>
      <x v="14"/>
    </i>
    <i>
      <x v="15"/>
    </i>
    <i>
      <x v="16"/>
    </i>
    <i>
      <x v="17"/>
    </i>
    <i>
      <x v="18"/>
    </i>
    <i>
      <x v="19"/>
    </i>
    <i>
      <x v="20"/>
    </i>
  </rowItems>
  <colItems count="1">
    <i/>
  </colItems>
  <dataFields count="1">
    <dataField name="Cloud-Cover" fld="9" subtotal="average" baseField="0" baseItem="3" numFmtId="165"/>
  </dataFields>
  <formats count="1">
    <format dxfId="47">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2207A0-80A1-4F7D-B5F4-A765603650D5}" name="Sunrise_Sunset_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dataField="1"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dataFields count="2">
    <dataField name="Sun-rise" fld="11" subtotal="min" baseField="0" baseItem="0" numFmtId="164"/>
    <dataField name="Sun-set" fld="12" subtotal="max" baseField="0" baseItem="3" numFmtId="164"/>
  </dataFields>
  <formats count="1">
    <format dxfId="48">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717CC3-9A92-4512-B0B6-D5CF4F286050}" name="Min_Max_Tem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A3:C18" firstHeaderRow="0"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dataFields count="2">
    <dataField name="Temp-Min" fld="2" subtotal="average" baseField="0" baseItem="0"/>
    <dataField name="Temp-Max" fld="1" subtotal="average" baseField="0" baseItem="0"/>
  </dataFields>
  <formats count="1">
    <format dxfId="49">
      <pivotArea outline="0" collapsedLevelsAreSubtotals="1" fieldPosition="0"/>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655751-6646-472F-88E4-F1A86211AC5C}" name="Wind_Gust_Spee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3" rowHeaderCaption="Date">
  <location ref="A24:B39" firstHeaderRow="1"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dataFields count="1">
    <dataField name="Wind-Speed" fld="8" subtotal="average" baseField="0" baseItem="0"/>
  </dataFields>
  <formats count="1">
    <format dxfId="50">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F9EC3BF-3694-46CD-BAB2-17191686BA0D}" name="Humi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dataFields count="1">
    <dataField name="Humid" fld="4" subtotal="average" baseField="0" baseItem="1"/>
  </dataFields>
  <formats count="1">
    <format dxfId="51">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1D0CF16-8D9A-4A3F-BDDF-6BF5D721246C}" name="Temperature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dataFields count="1">
    <dataField name="Temperature" fld="3" subtotal="average" baseField="0" baseItem="3"/>
  </dataFields>
  <formats count="1">
    <format dxfId="52">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F417891-A729-4679-B52A-58D599D3BDEF}" name="UV-Index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dataFields count="1">
    <dataField name="UV-Index" fld="10" subtotal="average" baseField="0" baseItem="3" numFmtId="1"/>
  </dataFields>
  <formats count="1">
    <format dxfId="53">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70D906C-6143-4206-B40E-D18855DF97B0}" name="Preci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9" rowHeaderCaption="Date">
  <location ref="K3:M18" firstHeaderRow="0" firstDataRow="1" firstDataCol="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multipleItemSelectionAllowed="1"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dataFields count="2">
    <dataField name="Precipitation" fld="5" subtotal="average" baseField="0" baseItem="5"/>
    <dataField name="Precip-Prob" fld="6" subtotal="average" baseField="0" baseItem="3"/>
  </dataFields>
  <formats count="1">
    <format dxfId="54">
      <pivotArea outline="0" collapsedLevelsAreSubtotals="1" fieldPosition="0"/>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AEB3D99-98A8-410D-AFEA-8A23B3C610AD}" name="Cloud-cover1"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4">
        <item m="1" x="79"/>
        <item m="1" x="75"/>
        <item m="1" x="71"/>
        <item m="1" x="67"/>
        <item m="1" x="63"/>
        <item m="1" x="60"/>
        <item x="0"/>
        <item x="1"/>
        <item x="2"/>
        <item x="3"/>
        <item x="4"/>
        <item x="5"/>
        <item x="6"/>
        <item x="7"/>
        <item m="1" x="82"/>
        <item m="1" x="78"/>
        <item x="8"/>
        <item m="1" x="74"/>
        <item m="1" x="70"/>
        <item x="9"/>
        <item m="1" x="66"/>
        <item m="1" x="62"/>
        <item x="10"/>
        <item x="45"/>
        <item m="1" x="81"/>
        <item x="11"/>
        <item x="46"/>
        <item m="1" x="77"/>
        <item m="1" x="73"/>
        <item x="47"/>
        <item m="1" x="69"/>
        <item x="48"/>
        <item m="1" x="65"/>
        <item x="49"/>
        <item x="30"/>
        <item x="50"/>
        <item x="31"/>
        <item x="51"/>
        <item x="32"/>
        <item x="52"/>
        <item x="33"/>
        <item x="34"/>
        <item x="53"/>
        <item x="35"/>
        <item x="54"/>
        <item x="36"/>
        <item x="55"/>
        <item x="37"/>
        <item x="56"/>
        <item x="38"/>
        <item x="39"/>
        <item x="40"/>
        <item x="41"/>
        <item m="1" x="80"/>
        <item m="1" x="76"/>
        <item m="1" x="72"/>
        <item m="1" x="68"/>
        <item m="1" x="64"/>
        <item m="1" x="61"/>
        <item x="15"/>
        <item x="16"/>
        <item x="17"/>
        <item x="18"/>
        <item x="19"/>
        <item x="20"/>
        <item x="21"/>
        <item x="22"/>
        <item x="23"/>
        <item x="24"/>
        <item x="25"/>
        <item x="26"/>
        <item x="12"/>
        <item x="27"/>
        <item x="42"/>
        <item x="57"/>
        <item x="13"/>
        <item x="28"/>
        <item x="43"/>
        <item x="58"/>
        <item x="14"/>
        <item x="29"/>
        <item x="44"/>
        <item x="59"/>
        <item t="default"/>
      </items>
    </pivotField>
    <pivotField numFmtId="164" showAll="0">
      <items count="82">
        <item x="11"/>
        <item x="10"/>
        <item x="9"/>
        <item x="8"/>
        <item x="7"/>
        <item x="6"/>
        <item x="5"/>
        <item x="4"/>
        <item x="3"/>
        <item x="2"/>
        <item x="1"/>
        <item x="0"/>
        <item m="1" x="57"/>
        <item m="1" x="61"/>
        <item m="1" x="65"/>
        <item m="1" x="69"/>
        <item m="1" x="73"/>
        <item m="1" x="77"/>
        <item x="54"/>
        <item x="53"/>
        <item x="52"/>
        <item x="51"/>
        <item x="50"/>
        <item x="49"/>
        <item x="48"/>
        <item x="47"/>
        <item x="46"/>
        <item x="45"/>
        <item x="44"/>
        <item x="43"/>
        <item m="1" x="60"/>
        <item m="1" x="64"/>
        <item m="1" x="68"/>
        <item m="1" x="72"/>
        <item m="1" x="76"/>
        <item m="1" x="80"/>
        <item x="40"/>
        <item x="39"/>
        <item x="38"/>
        <item x="37"/>
        <item x="36"/>
        <item x="35"/>
        <item x="34"/>
        <item x="33"/>
        <item x="32"/>
        <item x="31"/>
        <item x="30"/>
        <item x="29"/>
        <item m="1" x="59"/>
        <item m="1" x="63"/>
        <item m="1" x="67"/>
        <item m="1" x="71"/>
        <item m="1" x="75"/>
        <item m="1" x="79"/>
        <item x="26"/>
        <item x="25"/>
        <item x="24"/>
        <item x="23"/>
        <item x="22"/>
        <item x="21"/>
        <item x="20"/>
        <item x="19"/>
        <item x="18"/>
        <item x="17"/>
        <item x="16"/>
        <item x="15"/>
        <item m="1" x="58"/>
        <item m="1" x="62"/>
        <item m="1" x="66"/>
        <item m="1" x="70"/>
        <item m="1" x="74"/>
        <item m="1" x="78"/>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0" hier="-1"/>
  </pageFields>
  <dataFields count="1">
    <dataField name="Cloud-Cover" fld="9" subtotal="average" baseField="0" baseItem="3" numFmtId="165"/>
  </dataFields>
  <formats count="1">
    <format dxfId="39">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52347C-C775-4D39-A34B-2D92AB883925}" name="Min_Max_Tem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5" rowHeaderCaption="Date">
  <location ref="A3:C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0" hier="-1"/>
  </pageFields>
  <dataFields count="2">
    <dataField name="Temp-Min" fld="2" subtotal="average" baseField="0" baseItem="0"/>
    <dataField name="Temp-Max" fld="1" subtotal="average" baseField="0" baseItem="0"/>
  </dataFields>
  <formats count="1">
    <format dxfId="4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1B1E2B6-C120-4BE7-96C2-D6CD3D017038}" name="Sunrise_Sunset_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dataField="1"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0" hier="-1"/>
  </pageFields>
  <dataFields count="2">
    <dataField name="Sun-rise" fld="11" subtotal="min" baseField="0" baseItem="0" numFmtId="164"/>
    <dataField name="Sun-set" fld="12" subtotal="max" baseField="0" baseItem="3" numFmtId="164"/>
  </dataFields>
  <formats count="1">
    <format dxfId="41">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511FC4C-9CA2-4705-9159-37D86755BC8A}" name="Wind_Gust_Spee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0" rowHeaderCaption="Date">
  <location ref="A24:B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0" hier="-1"/>
  </pageFields>
  <dataFields count="1">
    <dataField name="Wind-Speed" fld="8" subtotal="average" baseField="0" baseItem="0"/>
  </dataFields>
  <formats count="1">
    <format dxfId="42">
      <pivotArea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30823C8-C0DF-429B-AD3F-8165662964B8}" name="UV-Index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0" hier="-1"/>
  </pageFields>
  <dataFields count="1">
    <dataField name="UV-Index" fld="10" subtotal="average" baseField="0" baseItem="3" numFmtId="1"/>
  </dataFields>
  <formats count="1">
    <format dxfId="43">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A9A0081-D56C-4141-B47A-E098E6437336}" name="Preci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7" rowHeaderCaption="Date">
  <location ref="K3:M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0" hier="-1"/>
  </pageFields>
  <dataFields count="2">
    <dataField name="Precipitation" fld="5" subtotal="average" baseField="0" baseItem="5"/>
    <dataField name="Precip-Prob" fld="6" subtotal="average" baseField="0" baseItem="3"/>
  </dataFields>
  <formats count="1">
    <format dxfId="44">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2ADEA7E-6942-4174-8789-51D08B840C20}" name="Humi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0" hier="-1"/>
  </pageFields>
  <dataFields count="1">
    <dataField name="Humid" fld="4" subtotal="average" baseField="0" baseItem="1"/>
  </dataFields>
  <formats count="1">
    <format dxfId="45">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149548E-A999-43E3-9AF4-B839C2D6B921}" name="Temperature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0" hier="-1"/>
  </pageFields>
  <dataFields count="1">
    <dataField name="Temperature" fld="3" subtotal="average" baseField="0" baseItem="3"/>
  </dataFields>
  <formats count="1">
    <format dxfId="46">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93EBDDA-56AE-4BF6-A132-684E9E40B08B}" name="PivotTable11"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4">
        <item m="1" x="79"/>
        <item m="1" x="75"/>
        <item m="1" x="71"/>
        <item m="1" x="67"/>
        <item m="1" x="63"/>
        <item m="1" x="60"/>
        <item x="0"/>
        <item x="1"/>
        <item x="2"/>
        <item x="3"/>
        <item x="4"/>
        <item x="5"/>
        <item x="6"/>
        <item x="7"/>
        <item m="1" x="82"/>
        <item m="1" x="78"/>
        <item x="8"/>
        <item m="1" x="74"/>
        <item m="1" x="70"/>
        <item x="9"/>
        <item m="1" x="66"/>
        <item m="1" x="62"/>
        <item x="10"/>
        <item x="45"/>
        <item m="1" x="81"/>
        <item x="11"/>
        <item x="46"/>
        <item m="1" x="77"/>
        <item m="1" x="73"/>
        <item x="47"/>
        <item m="1" x="69"/>
        <item x="48"/>
        <item m="1" x="65"/>
        <item x="49"/>
        <item x="30"/>
        <item x="50"/>
        <item x="31"/>
        <item x="51"/>
        <item x="32"/>
        <item x="52"/>
        <item x="33"/>
        <item x="34"/>
        <item x="53"/>
        <item x="35"/>
        <item x="54"/>
        <item x="36"/>
        <item x="55"/>
        <item x="37"/>
        <item x="56"/>
        <item x="38"/>
        <item x="39"/>
        <item x="40"/>
        <item x="41"/>
        <item m="1" x="80"/>
        <item m="1" x="76"/>
        <item m="1" x="72"/>
        <item m="1" x="68"/>
        <item m="1" x="64"/>
        <item m="1" x="61"/>
        <item x="15"/>
        <item x="16"/>
        <item x="17"/>
        <item x="18"/>
        <item x="19"/>
        <item x="20"/>
        <item x="21"/>
        <item x="22"/>
        <item x="23"/>
        <item x="24"/>
        <item x="25"/>
        <item x="26"/>
        <item x="12"/>
        <item x="27"/>
        <item x="42"/>
        <item x="57"/>
        <item x="13"/>
        <item x="28"/>
        <item x="43"/>
        <item x="58"/>
        <item x="14"/>
        <item x="29"/>
        <item x="44"/>
        <item x="59"/>
        <item t="default"/>
      </items>
    </pivotField>
    <pivotField numFmtId="164" showAll="0">
      <items count="82">
        <item x="11"/>
        <item x="10"/>
        <item x="9"/>
        <item x="8"/>
        <item x="7"/>
        <item x="6"/>
        <item x="5"/>
        <item x="4"/>
        <item x="3"/>
        <item x="2"/>
        <item x="1"/>
        <item x="0"/>
        <item m="1" x="57"/>
        <item m="1" x="61"/>
        <item m="1" x="65"/>
        <item m="1" x="69"/>
        <item m="1" x="73"/>
        <item m="1" x="77"/>
        <item x="54"/>
        <item x="53"/>
        <item x="52"/>
        <item x="51"/>
        <item x="50"/>
        <item x="49"/>
        <item x="48"/>
        <item x="47"/>
        <item x="46"/>
        <item x="45"/>
        <item x="44"/>
        <item x="43"/>
        <item m="1" x="60"/>
        <item m="1" x="64"/>
        <item m="1" x="68"/>
        <item m="1" x="72"/>
        <item m="1" x="76"/>
        <item m="1" x="80"/>
        <item x="40"/>
        <item x="39"/>
        <item x="38"/>
        <item x="37"/>
        <item x="36"/>
        <item x="35"/>
        <item x="34"/>
        <item x="33"/>
        <item x="32"/>
        <item x="31"/>
        <item x="30"/>
        <item x="29"/>
        <item m="1" x="59"/>
        <item m="1" x="63"/>
        <item m="1" x="67"/>
        <item m="1" x="71"/>
        <item m="1" x="75"/>
        <item m="1" x="79"/>
        <item x="26"/>
        <item x="25"/>
        <item x="24"/>
        <item x="23"/>
        <item x="22"/>
        <item x="21"/>
        <item x="20"/>
        <item x="19"/>
        <item x="18"/>
        <item x="17"/>
        <item x="16"/>
        <item x="15"/>
        <item m="1" x="58"/>
        <item m="1" x="62"/>
        <item m="1" x="66"/>
        <item m="1" x="70"/>
        <item m="1" x="74"/>
        <item m="1" x="78"/>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1" hier="-1"/>
  </pageFields>
  <dataFields count="1">
    <dataField name="Cloud-Cover" fld="9" subtotal="average" baseField="0" baseItem="3" numFmtId="165"/>
  </dataFields>
  <formats count="1">
    <format dxfId="31">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E084C04-ED75-4F82-82C0-921BC5F683C1}" name="Sunrise_Sunset_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dataField="1"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1" hier="-1"/>
  </pageFields>
  <dataFields count="2">
    <dataField name="Sun-rise" fld="11" subtotal="min" baseField="0" baseItem="0" numFmtId="164"/>
    <dataField name="Sun-set" fld="12" subtotal="max" baseField="0" baseItem="3" numFmtId="164"/>
  </dataFields>
  <formats count="1">
    <format dxfId="32">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5C00209-F326-4B50-B265-C8E90DA99AC5}" name="Min_Max_Tem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A3:C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1" hier="-1"/>
  </pageFields>
  <dataFields count="2">
    <dataField name="Temp-Min" fld="2" subtotal="average" baseField="0" baseItem="0"/>
    <dataField name="Temp-Max" fld="1" subtotal="average" baseField="0" baseItem="0"/>
  </dataFields>
  <formats count="1">
    <format dxfId="33">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08A3C75-AA7D-4CE6-87F6-53D204005990}" name="Wind_Gust_Spee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4" rowHeaderCaption="Date">
  <location ref="A24:B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1" hier="-1"/>
  </pageFields>
  <dataFields count="1">
    <dataField name="Wind-Speed" fld="8" subtotal="average" baseField="0" baseItem="0"/>
  </dataFields>
  <formats count="1">
    <format dxfId="34">
      <pivotArea outline="0" collapsedLevelsAreSubtotals="1" fieldPosition="0"/>
    </format>
  </formats>
  <chartFormats count="3">
    <chartFormat chart="3"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E9CC2F4-12D4-4F7F-915A-ECC659CD626A}" name="Humi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1" hier="-1"/>
  </pageFields>
  <dataFields count="1">
    <dataField name="Humid" fld="4" subtotal="average" baseField="0" baseItem="1"/>
  </dataFields>
  <formats count="1">
    <format dxfId="35">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870DE8F-7EE7-44E8-A25A-6FA9BFE15812}" name="Temperature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1" hier="-1"/>
  </pageFields>
  <dataFields count="1">
    <dataField name="Temperature" fld="3" subtotal="average" baseField="0" baseItem="3"/>
  </dataFields>
  <formats count="1">
    <format dxfId="36">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025BD4C-1EAB-4D3B-A38D-50BE3732485A}" name="UV-Index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1" hier="-1"/>
  </pageFields>
  <dataFields count="1">
    <dataField name="UV-Index" fld="10" subtotal="average" baseField="0" baseItem="3" numFmtId="1"/>
  </dataFields>
  <formats count="1">
    <format dxfId="37">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8DEF2F3-8D23-4E76-B268-8CA8D36457F4}" name="Preci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5" rowHeaderCaption="Date">
  <location ref="K3:M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1" hier="-1"/>
  </pageFields>
  <dataFields count="2">
    <dataField name="Precipitation" fld="5" subtotal="average" baseField="0" baseItem="5"/>
    <dataField name="Precip-Prob" fld="6" subtotal="average" baseField="0" baseItem="3"/>
  </dataFields>
  <formats count="1">
    <format dxfId="38">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332AA30-495A-438F-B50A-1B40A0C9848F}" name="PivotTable12"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4">
        <item m="1" x="79"/>
        <item m="1" x="75"/>
        <item m="1" x="71"/>
        <item m="1" x="67"/>
        <item m="1" x="63"/>
        <item m="1" x="60"/>
        <item x="0"/>
        <item x="1"/>
        <item x="2"/>
        <item x="3"/>
        <item x="4"/>
        <item x="5"/>
        <item x="6"/>
        <item x="7"/>
        <item m="1" x="82"/>
        <item m="1" x="78"/>
        <item x="8"/>
        <item m="1" x="74"/>
        <item m="1" x="70"/>
        <item x="9"/>
        <item m="1" x="66"/>
        <item m="1" x="62"/>
        <item x="10"/>
        <item x="45"/>
        <item m="1" x="81"/>
        <item x="11"/>
        <item x="46"/>
        <item m="1" x="77"/>
        <item m="1" x="73"/>
        <item x="47"/>
        <item m="1" x="69"/>
        <item x="48"/>
        <item m="1" x="65"/>
        <item x="49"/>
        <item x="30"/>
        <item x="50"/>
        <item x="31"/>
        <item x="51"/>
        <item x="32"/>
        <item x="52"/>
        <item x="33"/>
        <item x="34"/>
        <item x="53"/>
        <item x="35"/>
        <item x="54"/>
        <item x="36"/>
        <item x="55"/>
        <item x="37"/>
        <item x="56"/>
        <item x="38"/>
        <item x="39"/>
        <item x="40"/>
        <item x="41"/>
        <item m="1" x="80"/>
        <item m="1" x="76"/>
        <item m="1" x="72"/>
        <item m="1" x="68"/>
        <item m="1" x="64"/>
        <item m="1" x="61"/>
        <item x="15"/>
        <item x="16"/>
        <item x="17"/>
        <item x="18"/>
        <item x="19"/>
        <item x="20"/>
        <item x="21"/>
        <item x="22"/>
        <item x="23"/>
        <item x="24"/>
        <item x="25"/>
        <item x="26"/>
        <item x="12"/>
        <item x="27"/>
        <item x="42"/>
        <item x="57"/>
        <item x="13"/>
        <item x="28"/>
        <item x="43"/>
        <item x="58"/>
        <item x="14"/>
        <item x="29"/>
        <item x="44"/>
        <item x="59"/>
        <item t="default"/>
      </items>
    </pivotField>
    <pivotField numFmtId="164" showAll="0">
      <items count="82">
        <item x="11"/>
        <item x="10"/>
        <item x="9"/>
        <item x="8"/>
        <item x="7"/>
        <item x="6"/>
        <item x="5"/>
        <item x="4"/>
        <item x="3"/>
        <item x="2"/>
        <item x="1"/>
        <item x="0"/>
        <item m="1" x="57"/>
        <item m="1" x="61"/>
        <item m="1" x="65"/>
        <item m="1" x="69"/>
        <item m="1" x="73"/>
        <item m="1" x="77"/>
        <item x="54"/>
        <item x="53"/>
        <item x="52"/>
        <item x="51"/>
        <item x="50"/>
        <item x="49"/>
        <item x="48"/>
        <item x="47"/>
        <item x="46"/>
        <item x="45"/>
        <item x="44"/>
        <item x="43"/>
        <item m="1" x="60"/>
        <item m="1" x="64"/>
        <item m="1" x="68"/>
        <item m="1" x="72"/>
        <item m="1" x="76"/>
        <item m="1" x="80"/>
        <item x="40"/>
        <item x="39"/>
        <item x="38"/>
        <item x="37"/>
        <item x="36"/>
        <item x="35"/>
        <item x="34"/>
        <item x="33"/>
        <item x="32"/>
        <item x="31"/>
        <item x="30"/>
        <item x="29"/>
        <item m="1" x="59"/>
        <item m="1" x="63"/>
        <item m="1" x="67"/>
        <item m="1" x="71"/>
        <item m="1" x="75"/>
        <item m="1" x="79"/>
        <item x="26"/>
        <item x="25"/>
        <item x="24"/>
        <item x="23"/>
        <item x="22"/>
        <item x="21"/>
        <item x="20"/>
        <item x="19"/>
        <item x="18"/>
        <item x="17"/>
        <item x="16"/>
        <item x="15"/>
        <item m="1" x="58"/>
        <item m="1" x="62"/>
        <item m="1" x="66"/>
        <item m="1" x="70"/>
        <item m="1" x="74"/>
        <item m="1" x="78"/>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2" hier="-1"/>
  </pageFields>
  <dataFields count="1">
    <dataField name="Cloud-Cover" fld="9" subtotal="average" baseField="0" baseItem="3" numFmtId="165"/>
  </dataFields>
  <formats count="1">
    <format dxfId="23">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5B7C200C-E4A8-4F20-B1AE-8EB3EDAC3F5D}" name="Min_Max_Tem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7" rowHeaderCaption="Date">
  <location ref="A3:C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2" hier="-1"/>
  </pageFields>
  <dataFields count="2">
    <dataField name="Temp-Min" fld="2" subtotal="average" baseField="0" baseItem="0"/>
    <dataField name="Temp-Max" fld="1" subtotal="average" baseField="0" baseItem="0"/>
  </dataFields>
  <formats count="1">
    <format dxfId="24">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F50F931-B7A7-4F55-8D63-CA9CB33AE93D}" name="Sunrise_Sunset_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dataField="1"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2" hier="-1"/>
  </pageFields>
  <dataFields count="2">
    <dataField name="Sun-rise" fld="11" subtotal="min" baseField="0" baseItem="0" numFmtId="164"/>
    <dataField name="Sun-set" fld="12" subtotal="max" baseField="0" baseItem="3" numFmtId="164"/>
  </dataFields>
  <formats count="1">
    <format dxfId="25">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E8AD84B6-8D90-4047-82E4-728C24FC73F1}" name="Wind_Gust_Spee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2" rowHeaderCaption="Date">
  <location ref="A24:B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2" hier="-1"/>
  </pageFields>
  <dataFields count="1">
    <dataField name="Wind-Speed" fld="8" subtotal="average" baseField="0" baseItem="0"/>
  </dataFields>
  <formats count="1">
    <format dxfId="26">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1EF8F494-28CB-40FC-B49F-A78A057677C7}" name="UV-Index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2" hier="-1"/>
  </pageFields>
  <dataFields count="1">
    <dataField name="UV-Index" fld="10" subtotal="average" baseField="0" baseItem="3" numFmtId="1"/>
  </dataFields>
  <formats count="1">
    <format dxfId="27">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550D960B-0A9F-4AD4-A036-1BCC1CA1671E}" name="Preci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4" rowHeaderCaption="Date">
  <location ref="K3:M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2" hier="-1"/>
  </pageFields>
  <dataFields count="2">
    <dataField name="Precipitation" fld="5" subtotal="average" baseField="0" baseItem="5"/>
    <dataField name="Precip-Prob" fld="6" subtotal="average" baseField="0" baseItem="3"/>
  </dataFields>
  <formats count="1">
    <format dxfId="28">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672ED30E-F001-418E-AD66-D3EFB0E9AAF2}" name="Humi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2" hier="-1"/>
  </pageFields>
  <dataFields count="1">
    <dataField name="Humid" fld="4" subtotal="average" baseField="0" baseItem="1"/>
  </dataFields>
  <formats count="1">
    <format dxfId="29">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71A20DAE-089A-4E31-B128-B121B7AD3018}" name="Temperature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2" hier="-1"/>
  </pageFields>
  <dataFields count="1">
    <dataField name="Temperature" fld="3" subtotal="average" baseField="0" baseItem="3"/>
  </dataFields>
  <formats count="1">
    <format dxfId="30">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217F6837-03F4-4922-BE86-FE3F0E6D7FC1}" name="PivotTable13"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O3:P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dataField="1" showAll="0"/>
    <pivotField showAll="0"/>
    <pivotField numFmtId="164" showAll="0">
      <items count="84">
        <item m="1" x="79"/>
        <item m="1" x="75"/>
        <item m="1" x="71"/>
        <item m="1" x="67"/>
        <item m="1" x="63"/>
        <item m="1" x="60"/>
        <item x="0"/>
        <item x="1"/>
        <item x="2"/>
        <item x="3"/>
        <item x="4"/>
        <item x="5"/>
        <item x="6"/>
        <item x="7"/>
        <item m="1" x="82"/>
        <item m="1" x="78"/>
        <item x="8"/>
        <item m="1" x="74"/>
        <item m="1" x="70"/>
        <item x="9"/>
        <item m="1" x="66"/>
        <item m="1" x="62"/>
        <item x="10"/>
        <item x="45"/>
        <item m="1" x="81"/>
        <item x="11"/>
        <item x="46"/>
        <item m="1" x="77"/>
        <item m="1" x="73"/>
        <item x="47"/>
        <item m="1" x="69"/>
        <item x="48"/>
        <item m="1" x="65"/>
        <item x="49"/>
        <item x="30"/>
        <item x="50"/>
        <item x="31"/>
        <item x="51"/>
        <item x="32"/>
        <item x="52"/>
        <item x="33"/>
        <item x="34"/>
        <item x="53"/>
        <item x="35"/>
        <item x="54"/>
        <item x="36"/>
        <item x="55"/>
        <item x="37"/>
        <item x="56"/>
        <item x="38"/>
        <item x="39"/>
        <item x="40"/>
        <item x="41"/>
        <item m="1" x="80"/>
        <item m="1" x="76"/>
        <item m="1" x="72"/>
        <item m="1" x="68"/>
        <item m="1" x="64"/>
        <item m="1" x="61"/>
        <item x="15"/>
        <item x="16"/>
        <item x="17"/>
        <item x="18"/>
        <item x="19"/>
        <item x="20"/>
        <item x="21"/>
        <item x="22"/>
        <item x="23"/>
        <item x="24"/>
        <item x="25"/>
        <item x="26"/>
        <item x="12"/>
        <item x="27"/>
        <item x="42"/>
        <item x="57"/>
        <item x="13"/>
        <item x="28"/>
        <item x="43"/>
        <item x="58"/>
        <item x="14"/>
        <item x="29"/>
        <item x="44"/>
        <item x="59"/>
        <item t="default"/>
      </items>
    </pivotField>
    <pivotField numFmtId="164" showAll="0">
      <items count="82">
        <item x="11"/>
        <item x="10"/>
        <item x="9"/>
        <item x="8"/>
        <item x="7"/>
        <item x="6"/>
        <item x="5"/>
        <item x="4"/>
        <item x="3"/>
        <item x="2"/>
        <item x="1"/>
        <item x="0"/>
        <item m="1" x="57"/>
        <item m="1" x="61"/>
        <item m="1" x="65"/>
        <item m="1" x="69"/>
        <item m="1" x="73"/>
        <item m="1" x="77"/>
        <item x="54"/>
        <item x="53"/>
        <item x="52"/>
        <item x="51"/>
        <item x="50"/>
        <item x="49"/>
        <item x="48"/>
        <item x="47"/>
        <item x="46"/>
        <item x="45"/>
        <item x="44"/>
        <item x="43"/>
        <item m="1" x="60"/>
        <item m="1" x="64"/>
        <item m="1" x="68"/>
        <item m="1" x="72"/>
        <item m="1" x="76"/>
        <item m="1" x="80"/>
        <item x="40"/>
        <item x="39"/>
        <item x="38"/>
        <item x="37"/>
        <item x="36"/>
        <item x="35"/>
        <item x="34"/>
        <item x="33"/>
        <item x="32"/>
        <item x="31"/>
        <item x="30"/>
        <item x="29"/>
        <item m="1" x="59"/>
        <item m="1" x="63"/>
        <item m="1" x="67"/>
        <item m="1" x="71"/>
        <item m="1" x="75"/>
        <item m="1" x="79"/>
        <item x="26"/>
        <item x="25"/>
        <item x="24"/>
        <item x="23"/>
        <item x="22"/>
        <item x="21"/>
        <item x="20"/>
        <item x="19"/>
        <item x="18"/>
        <item x="17"/>
        <item x="16"/>
        <item x="15"/>
        <item m="1" x="58"/>
        <item m="1" x="62"/>
        <item m="1" x="66"/>
        <item m="1" x="70"/>
        <item m="1" x="74"/>
        <item m="1" x="78"/>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3" hier="-1"/>
  </pageFields>
  <dataFields count="1">
    <dataField name="Cloud-Cover" fld="9" subtotal="average" baseField="0" baseItem="3" numFmtId="165"/>
  </dataFields>
  <formats count="1">
    <format dxfId="15">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513FDEDA-E9F6-41E0-ADAF-E9BA5AF6A424}" name="Sunrise_Sunset_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3" rowHeaderCaption="Date">
  <location ref="K24:M39"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dataField="1"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dataField="1"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3" hier="-1"/>
  </pageFields>
  <dataFields count="2">
    <dataField name="Sun-rise" fld="11" subtotal="min" baseField="0" baseItem="0" numFmtId="164"/>
    <dataField name="Sun-set" fld="12" subtotal="max" baseField="0" baseItem="3" numFmtId="164"/>
  </dataFields>
  <formats count="1">
    <format dxfId="16">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5AE17E2-7C49-43C6-84DE-1ECB9277E3C2}" name="Min_Max_Tem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A3:C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3" hier="-1"/>
  </pageFields>
  <dataFields count="2">
    <dataField name="Temp-Min" fld="2" subtotal="average" baseField="0" baseItem="0"/>
    <dataField name="Temp-Max" fld="1" subtotal="average" baseField="0" baseItem="0"/>
  </dataFields>
  <formats count="1">
    <format dxfId="17">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32C5DC49-A7ED-4DEA-A9D8-B5381EFC4E53}" name="Wind_Gust_Spee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3" rowHeaderCaption="Date">
  <location ref="A24:B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3" hier="-1"/>
  </pageFields>
  <dataFields count="1">
    <dataField name="Wind-Speed" fld="8" subtotal="average" baseField="0" baseItem="0"/>
  </dataFields>
  <formats count="1">
    <format dxfId="18">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16087BB3-36A0-4600-8433-19B356AD6FB5}" name="Humid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24:F39"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3" hier="-1"/>
  </pageFields>
  <dataFields count="1">
    <dataField name="Humid" fld="4" subtotal="average" baseField="0" baseItem="1"/>
  </dataFields>
  <formats count="1">
    <format dxfId="19">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4E4A0154-0861-4CA8-AEFD-3548EB5B68B4}" name="Temperature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Date">
  <location ref="E3:F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3" hier="-1"/>
  </pageFields>
  <dataFields count="1">
    <dataField name="Temperature" fld="3" subtotal="average" baseField="0" baseItem="3"/>
  </dataFields>
  <formats count="1">
    <format dxfId="20">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9E346B89-3C45-4695-9F96-1DE81A270AB1}" name="UV-Index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8" rowHeaderCaption="Date">
  <location ref="H3:I18" firstHeaderRow="1"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dataField="1"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Items count="1">
    <i/>
  </colItems>
  <pageFields count="1">
    <pageField fld="16" item="3" hier="-1"/>
  </pageFields>
  <dataFields count="1">
    <dataField name="UV-Index" fld="10" subtotal="average" baseField="0" baseItem="3" numFmtId="1"/>
  </dataFields>
  <formats count="1">
    <format dxfId="21">
      <pivotArea outline="0" collapsedLevelsAreSubtotals="1"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DFA6D8DC-0B42-4F81-9330-862FE848CF59}" name="PrecipTable" cacheId="4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5" rowHeaderCaption="Date">
  <location ref="K3:M18" firstHeaderRow="0" firstDataRow="1" firstDataCol="1" rowPageCount="1" colPageCount="1"/>
  <pivotFields count="25">
    <pivotField axis="axisRow" numFmtId="14" showAll="0">
      <items count="22">
        <item m="1" x="20"/>
        <item m="1" x="19"/>
        <item m="1" x="18"/>
        <item m="1" x="17"/>
        <item m="1" x="16"/>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dataField="1" showAll="0"/>
    <pivotField showAll="0"/>
    <pivotField showAll="0"/>
    <pivotField showAll="0"/>
    <pivotField showAll="0"/>
    <pivotField numFmtId="164" showAll="0">
      <items count="84">
        <item m="1" x="79"/>
        <item m="1" x="75"/>
        <item m="1" x="71"/>
        <item m="1" x="67"/>
        <item m="1" x="63"/>
        <item m="1" x="60"/>
        <item x="0"/>
        <item x="1"/>
        <item x="2"/>
        <item x="3"/>
        <item x="4"/>
        <item x="5"/>
        <item x="6"/>
        <item x="7"/>
        <item m="1" x="82"/>
        <item m="1" x="78"/>
        <item x="8"/>
        <item m="1" x="74"/>
        <item m="1" x="70"/>
        <item m="1" x="66"/>
        <item m="1" x="62"/>
        <item x="45"/>
        <item m="1" x="81"/>
        <item x="46"/>
        <item m="1" x="77"/>
        <item m="1" x="73"/>
        <item x="47"/>
        <item m="1" x="69"/>
        <item x="48"/>
        <item m="1" x="65"/>
        <item x="49"/>
        <item x="30"/>
        <item x="50"/>
        <item x="31"/>
        <item x="51"/>
        <item x="32"/>
        <item x="52"/>
        <item x="33"/>
        <item x="34"/>
        <item x="53"/>
        <item x="35"/>
        <item x="36"/>
        <item x="37"/>
        <item x="38"/>
        <item m="1" x="80"/>
        <item m="1" x="76"/>
        <item m="1" x="72"/>
        <item m="1" x="68"/>
        <item m="1" x="64"/>
        <item m="1" x="61"/>
        <item x="15"/>
        <item x="16"/>
        <item x="17"/>
        <item x="18"/>
        <item x="19"/>
        <item x="20"/>
        <item x="21"/>
        <item x="22"/>
        <item x="23"/>
        <item x="9"/>
        <item x="24"/>
        <item x="39"/>
        <item x="54"/>
        <item x="10"/>
        <item x="25"/>
        <item x="40"/>
        <item x="55"/>
        <item x="11"/>
        <item x="26"/>
        <item x="41"/>
        <item x="56"/>
        <item x="12"/>
        <item x="27"/>
        <item x="42"/>
        <item x="57"/>
        <item x="13"/>
        <item x="28"/>
        <item x="43"/>
        <item x="58"/>
        <item x="14"/>
        <item x="29"/>
        <item x="44"/>
        <item x="59"/>
        <item t="default"/>
      </items>
    </pivotField>
    <pivotField numFmtId="164" showAll="0">
      <items count="82">
        <item x="8"/>
        <item x="7"/>
        <item x="6"/>
        <item x="5"/>
        <item x="4"/>
        <item x="3"/>
        <item x="2"/>
        <item x="1"/>
        <item x="0"/>
        <item m="1" x="57"/>
        <item m="1" x="61"/>
        <item m="1" x="65"/>
        <item m="1" x="69"/>
        <item m="1" x="73"/>
        <item m="1" x="77"/>
        <item x="51"/>
        <item x="50"/>
        <item x="49"/>
        <item x="48"/>
        <item x="47"/>
        <item x="46"/>
        <item x="45"/>
        <item x="44"/>
        <item x="43"/>
        <item m="1" x="60"/>
        <item m="1" x="64"/>
        <item m="1" x="68"/>
        <item m="1" x="72"/>
        <item m="1" x="76"/>
        <item m="1" x="80"/>
        <item x="37"/>
        <item x="36"/>
        <item x="35"/>
        <item x="34"/>
        <item x="33"/>
        <item x="32"/>
        <item x="31"/>
        <item x="30"/>
        <item x="29"/>
        <item m="1" x="59"/>
        <item m="1" x="63"/>
        <item m="1" x="67"/>
        <item m="1" x="71"/>
        <item m="1" x="75"/>
        <item m="1" x="79"/>
        <item x="23"/>
        <item x="22"/>
        <item x="21"/>
        <item x="20"/>
        <item x="19"/>
        <item x="18"/>
        <item x="17"/>
        <item x="16"/>
        <item x="15"/>
        <item m="1" x="58"/>
        <item m="1" x="62"/>
        <item m="1" x="66"/>
        <item m="1" x="70"/>
        <item m="1" x="74"/>
        <item m="1" x="78"/>
        <item x="9"/>
        <item x="24"/>
        <item x="38"/>
        <item x="52"/>
        <item x="10"/>
        <item x="25"/>
        <item x="39"/>
        <item x="53"/>
        <item x="11"/>
        <item x="26"/>
        <item x="40"/>
        <item x="54"/>
        <item x="12"/>
        <item x="27"/>
        <item x="41"/>
        <item x="55"/>
        <item x="13"/>
        <item x="28"/>
        <item x="42"/>
        <item x="56"/>
        <item x="14"/>
        <item t="default"/>
      </items>
    </pivotField>
    <pivotField showAll="0"/>
    <pivotField showAll="0"/>
    <pivotField showAll="0"/>
    <pivotField axis="axisPage" showAll="0">
      <items count="5">
        <item x="0"/>
        <item x="1"/>
        <item x="2"/>
        <item x="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x="10"/>
        <item x="11"/>
        <item sd="0" x="12"/>
        <item sd="0" x="13"/>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15">
    <i>
      <x v="6"/>
    </i>
    <i>
      <x v="7"/>
    </i>
    <i>
      <x v="8"/>
    </i>
    <i>
      <x v="9"/>
    </i>
    <i>
      <x v="10"/>
    </i>
    <i>
      <x v="11"/>
    </i>
    <i>
      <x v="12"/>
    </i>
    <i>
      <x v="13"/>
    </i>
    <i>
      <x v="14"/>
    </i>
    <i>
      <x v="15"/>
    </i>
    <i>
      <x v="16"/>
    </i>
    <i>
      <x v="17"/>
    </i>
    <i>
      <x v="18"/>
    </i>
    <i>
      <x v="19"/>
    </i>
    <i>
      <x v="20"/>
    </i>
  </rowItems>
  <colFields count="1">
    <field x="-2"/>
  </colFields>
  <colItems count="2">
    <i>
      <x/>
    </i>
    <i i="1">
      <x v="1"/>
    </i>
  </colItems>
  <pageFields count="1">
    <pageField fld="16" item="3" hier="-1"/>
  </pageFields>
  <dataFields count="2">
    <dataField name="Precipitation" fld="5" subtotal="average" baseField="0" baseItem="5"/>
    <dataField name="Precip-Prob" fld="6" subtotal="average" baseField="0" baseItem="3"/>
  </dataFields>
  <formats count="1">
    <format dxfId="22">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10" format="12"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1"/>
          </reference>
        </references>
      </pivotArea>
    </chartFormat>
  </chart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BEEBAA92-16BA-458F-9F52-31D6CDFFE0F8}"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E2066CBC-A278-4072-A007-A4F2220CD27F}"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5C83E53-6CEF-42B2-854D-91576FE58792}"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FD7BDC6D-0EEA-426F-B799-7170DDBC8F4A}"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5" xr16:uid="{B5AB5A0C-702D-439A-9BAD-B1D5C80897C0}" autoFormatId="16" applyNumberFormats="0" applyBorderFormats="0" applyFontFormats="0" applyPatternFormats="0" applyAlignmentFormats="0" applyWidthHeightFormats="0">
  <queryTableRefresh nextId="18">
    <queryTableFields count="17">
      <queryTableField id="1" name="Date" tableColumnId="1"/>
      <queryTableField id="2" name="Temp Max" tableColumnId="2"/>
      <queryTableField id="3" name="Temp Min" tableColumnId="3"/>
      <queryTableField id="4" name="Temp" tableColumnId="4"/>
      <queryTableField id="5" name="Humidity" tableColumnId="5"/>
      <queryTableField id="6" name="Precip" tableColumnId="6"/>
      <queryTableField id="7" name="Precip Prob" tableColumnId="7"/>
      <queryTableField id="8" name="Wind Gust" tableColumnId="8"/>
      <queryTableField id="9" name="Wind Speed" tableColumnId="9"/>
      <queryTableField id="10" name="Cloud Cover" tableColumnId="10"/>
      <queryTableField id="11" name="UV Index" tableColumnId="11"/>
      <queryTableField id="12" name="Sunrise" tableColumnId="12"/>
      <queryTableField id="13" name="Sunset" tableColumnId="13"/>
      <queryTableField id="14" name="Conditions" tableColumnId="14"/>
      <queryTableField id="15" name="Description" tableColumnId="15"/>
      <queryTableField id="16" name="Icon" tableColumnId="16"/>
      <queryTableField id="17" name="City"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35F248E1-471A-406C-9F8E-CE0C0265F7F2}" sourceName="Date">
  <pivotTables>
    <pivotTable tabId="7" name="TemperatureTable"/>
    <pivotTable tabId="7" name="HumidTable"/>
    <pivotTable tabId="7" name="Min_Max_TempTable"/>
    <pivotTable tabId="7" name="PrecipTable"/>
    <pivotTable tabId="7" name="Sunrise_Sunset_Table"/>
    <pivotTable tabId="7" name="UV-IndexTable"/>
    <pivotTable tabId="7" name="Wind_Gust_SpeedTable"/>
    <pivotTable tabId="15" name="HumidTable"/>
    <pivotTable tabId="15" name="Min_Max_TempTable"/>
    <pivotTable tabId="15" name="PrecipTable"/>
    <pivotTable tabId="15" name="Sunrise_Sunset_Table"/>
    <pivotTable tabId="15" name="TemperatureTable"/>
    <pivotTable tabId="15" name="UV-IndexTable"/>
    <pivotTable tabId="15" name="Wind_Gust_SpeedTable"/>
    <pivotTable tabId="14" name="HumidTable"/>
    <pivotTable tabId="14" name="Min_Max_TempTable"/>
    <pivotTable tabId="14" name="PrecipTable"/>
    <pivotTable tabId="14" name="Sunrise_Sunset_Table"/>
    <pivotTable tabId="14" name="TemperatureTable"/>
    <pivotTable tabId="14" name="UV-IndexTable"/>
    <pivotTable tabId="14" name="Wind_Gust_SpeedTable"/>
    <pivotTable tabId="16" name="HumidTable"/>
    <pivotTable tabId="16" name="Min_Max_TempTable"/>
    <pivotTable tabId="16" name="PrecipTable"/>
    <pivotTable tabId="16" name="Sunrise_Sunset_Table"/>
    <pivotTable tabId="16" name="TemperatureTable"/>
    <pivotTable tabId="16" name="UV-IndexTable"/>
    <pivotTable tabId="16" name="Wind_Gust_SpeedTable"/>
    <pivotTable tabId="17" name="HumidTable"/>
    <pivotTable tabId="17" name="Min_Max_TempTable"/>
    <pivotTable tabId="17" name="PrecipTable"/>
    <pivotTable tabId="17" name="Sunrise_Sunset_Table"/>
    <pivotTable tabId="17" name="TemperatureTable"/>
    <pivotTable tabId="17" name="UV-IndexTable"/>
    <pivotTable tabId="17" name="Wind_Gust_SpeedTable"/>
    <pivotTable tabId="7" name="Cloudcover"/>
    <pivotTable tabId="15" name="PivotTable11"/>
    <pivotTable tabId="14" name="Cloud-cover1"/>
    <pivotTable tabId="16" name="PivotTable12"/>
    <pivotTable tabId="17" name="PivotTable13"/>
  </pivotTables>
  <data>
    <tabular pivotCacheId="1496754586">
      <items count="21">
        <i x="0" s="1"/>
        <i x="1" s="1"/>
        <i x="2" s="1"/>
        <i x="3" s="1"/>
        <i x="4" s="1"/>
        <i x="5" s="1"/>
        <i x="6" s="1"/>
        <i x="7" s="1"/>
        <i x="8" s="1"/>
        <i x="9" s="1"/>
        <i x="10" s="1"/>
        <i x="11" s="1"/>
        <i x="12" s="1"/>
        <i x="13" s="1"/>
        <i x="14" s="1"/>
        <i x="20" s="1" nd="1"/>
        <i x="19" s="1" nd="1"/>
        <i x="18" s="1" nd="1"/>
        <i x="17" s="1" nd="1"/>
        <i x="16"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743F3A8F-4A74-407B-AB21-BD8E9FFE34C9}" cache="Slicer_Date" caption="Date" columnCount="3"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3" xr10:uid="{B85A9D2D-19C0-4D00-AE9D-6AFE2D555888}" cache="Slicer_Date" caption="Date" columnCount="3"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5" xr10:uid="{7863AA94-5F2E-4663-8586-1BF4948AD8B7}" cache="Slicer_Date" caption="Date" columnCount="3" style="Slicer Style 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7" xr10:uid="{545FF47E-99ED-4737-ADFC-B2C27DDCD794}" cache="Slicer_Date" caption="Date" columnCount="3" style="Slicer Style 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9" xr10:uid="{701C4751-4213-4347-A6C5-8662DC97E5DC}" cache="Slicer_Date" caption="Date" columnCount="3"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E08E9-8BA4-42E0-BD98-52C1230FE1BE}" name="Trichy" displayName="Trichy" ref="A1:Q16" tableType="queryTable" totalsRowShown="0">
  <autoFilter ref="A1:Q16" xr:uid="{980E08E9-8BA4-42E0-BD98-52C1230FE1BE}"/>
  <tableColumns count="17">
    <tableColumn id="1" xr3:uid="{744DFD37-8BBC-4682-9CE6-14E983DD75ED}" uniqueName="1" name="Date" queryTableFieldId="1" dataDxfId="14"/>
    <tableColumn id="2" xr3:uid="{CF4D1681-BBB6-49B4-AE4D-3FEFD81BA458}" uniqueName="2" name="Temp Max" queryTableFieldId="2"/>
    <tableColumn id="3" xr3:uid="{48AF61F9-D20A-40E7-BC38-4516B3E9C739}" uniqueName="3" name="Temp Min" queryTableFieldId="3"/>
    <tableColumn id="4" xr3:uid="{5B4EC446-3CC0-4B3A-8A77-652C45D5E7B0}" uniqueName="4" name="Temp" queryTableFieldId="4"/>
    <tableColumn id="5" xr3:uid="{DA22EF27-0026-463F-88DA-FB0582022A1F}" uniqueName="5" name="Humidity" queryTableFieldId="5"/>
    <tableColumn id="6" xr3:uid="{23EA86F1-3E79-4A8C-9BF4-8D818B748C61}" uniqueName="6" name="Precip" queryTableFieldId="6"/>
    <tableColumn id="7" xr3:uid="{F99B38F0-FA61-4A45-867B-8B4918DF7A0A}" uniqueName="7" name="Precip Prob" queryTableFieldId="7"/>
    <tableColumn id="8" xr3:uid="{45574633-5002-41F0-8242-FE89181EB401}" uniqueName="8" name="Wind Gust" queryTableFieldId="8"/>
    <tableColumn id="9" xr3:uid="{9892F24B-9811-4D35-83FE-58E6DFE233EC}" uniqueName="9" name="Wind Speed" queryTableFieldId="9"/>
    <tableColumn id="10" xr3:uid="{EA45DC20-7FD3-46C7-9FDD-0A3FD3AFBD72}" uniqueName="10" name="Cloud Cover" queryTableFieldId="10"/>
    <tableColumn id="11" xr3:uid="{06D3EBCF-1408-4081-92B4-6419296AD444}" uniqueName="11" name="UV Index" queryTableFieldId="11"/>
    <tableColumn id="12" xr3:uid="{AC7AC395-76CF-48C1-8C4E-017FE1695161}" uniqueName="12" name="Sunrise" queryTableFieldId="12" dataDxfId="13"/>
    <tableColumn id="13" xr3:uid="{A1464AA6-328E-4C12-8A6D-71778E8862BE}" uniqueName="13" name="Sunset" queryTableFieldId="13" dataDxfId="12"/>
    <tableColumn id="14" xr3:uid="{41ED22C2-B03C-45D3-A813-6D3199FDD803}" uniqueName="14" name="Conditions" queryTableFieldId="14" dataDxfId="74"/>
    <tableColumn id="15" xr3:uid="{7F267A45-1B7A-43F1-973B-28D696A79DF4}" uniqueName="15" name="Description" queryTableFieldId="15" dataDxfId="73"/>
    <tableColumn id="16" xr3:uid="{A444D53C-3DBC-4082-986A-85532669185A}" uniqueName="16" name="Icon" queryTableFieldId="16" dataDxfId="72"/>
    <tableColumn id="17" xr3:uid="{80D7FEB5-C0BA-46BE-9FAC-1A9B5FD52DF4}" uniqueName="17" name="City" queryTableFieldId="17"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71034F-3AC5-4A6A-BA52-95F9D1EBCB87}" name="Madurai" displayName="Madurai" ref="A1:Q16" tableType="queryTable" totalsRowShown="0">
  <autoFilter ref="A1:Q16" xr:uid="{8171034F-3AC5-4A6A-BA52-95F9D1EBCB87}"/>
  <tableColumns count="17">
    <tableColumn id="1" xr3:uid="{690A61BB-1A10-481B-A875-9473CBDDFF65}" uniqueName="1" name="Date" queryTableFieldId="1" dataDxfId="11"/>
    <tableColumn id="2" xr3:uid="{3684904A-2AE7-4699-B5C1-AA39BA91E6CD}" uniqueName="2" name="Temp Max" queryTableFieldId="2"/>
    <tableColumn id="3" xr3:uid="{0F95D975-066F-4D07-8A64-70CF1C6D885E}" uniqueName="3" name="Temp Min" queryTableFieldId="3"/>
    <tableColumn id="4" xr3:uid="{9B1BC1E9-0976-496D-AAD7-FB7DE9569DD2}" uniqueName="4" name="Temp" queryTableFieldId="4"/>
    <tableColumn id="5" xr3:uid="{55C77C00-CDE0-4C0B-B796-E344487AAF3D}" uniqueName="5" name="Humidity" queryTableFieldId="5"/>
    <tableColumn id="6" xr3:uid="{81A9DAE7-5DE5-4702-B7A3-FE584725D30F}" uniqueName="6" name="Precip" queryTableFieldId="6"/>
    <tableColumn id="7" xr3:uid="{E84CE370-FF85-4ED0-AD08-78C9536CC614}" uniqueName="7" name="Precip Prob" queryTableFieldId="7"/>
    <tableColumn id="8" xr3:uid="{ED9B49C2-3E18-4A82-B5FC-80F2CEF3BEC4}" uniqueName="8" name="Wind Gust" queryTableFieldId="8"/>
    <tableColumn id="9" xr3:uid="{1F0C3003-E4EE-43F2-AC17-B0E880EF6DDB}" uniqueName="9" name="Wind Speed" queryTableFieldId="9"/>
    <tableColumn id="10" xr3:uid="{9761A60D-2E1A-451A-8215-8057AF1C5589}" uniqueName="10" name="Cloud Cover" queryTableFieldId="10"/>
    <tableColumn id="11" xr3:uid="{F5D7FF89-5957-401D-9550-07A0AF8360CE}" uniqueName="11" name="UV Index" queryTableFieldId="11"/>
    <tableColumn id="12" xr3:uid="{4D1A236C-662D-4568-8A58-345495F18986}" uniqueName="12" name="Sunrise" queryTableFieldId="12" dataDxfId="10"/>
    <tableColumn id="13" xr3:uid="{BEB7F8D1-B1DB-4851-8898-108DBA64A391}" uniqueName="13" name="Sunset" queryTableFieldId="13" dataDxfId="9"/>
    <tableColumn id="14" xr3:uid="{57AEC67B-AEEC-4074-A8BB-C6E1459041CD}" uniqueName="14" name="Conditions" queryTableFieldId="14" dataDxfId="70"/>
    <tableColumn id="15" xr3:uid="{4CFD1149-33C0-4463-84CA-A6DBEB1F7551}" uniqueName="15" name="Description" queryTableFieldId="15" dataDxfId="69"/>
    <tableColumn id="16" xr3:uid="{DC2F5231-1EA7-4105-BC7E-94854A1D90FC}" uniqueName="16" name="Icon" queryTableFieldId="16" dataDxfId="68"/>
    <tableColumn id="17" xr3:uid="{813DCF00-C949-4F48-8D60-D8BF5B02D13E}" uniqueName="17" name="City" queryTableFieldId="17" dataDxfId="6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B1A4071-6970-431D-A5E8-09F35B8442BA}" name="Chennai" displayName="Chennai" ref="A1:Q16" tableType="queryTable" totalsRowShown="0">
  <autoFilter ref="A1:Q16" xr:uid="{FB1A4071-6970-431D-A5E8-09F35B8442BA}"/>
  <tableColumns count="17">
    <tableColumn id="1" xr3:uid="{A0D810EA-F13D-490C-9530-E7ACBA4CBB4A}" uniqueName="1" name="Date" queryTableFieldId="1" dataDxfId="8"/>
    <tableColumn id="2" xr3:uid="{402F2608-A510-4384-8D37-463B3690E919}" uniqueName="2" name="Temp Max" queryTableFieldId="2"/>
    <tableColumn id="3" xr3:uid="{F1F52BDE-3A2B-4AB2-9014-EACA82548FCC}" uniqueName="3" name="Temp Min" queryTableFieldId="3"/>
    <tableColumn id="4" xr3:uid="{199572A4-E697-49F2-A180-37C294B689F0}" uniqueName="4" name="Temp" queryTableFieldId="4"/>
    <tableColumn id="5" xr3:uid="{6E200B2E-9345-45AA-8BBD-DEF97A1FBD68}" uniqueName="5" name="Humidity" queryTableFieldId="5"/>
    <tableColumn id="6" xr3:uid="{E4878590-8298-41F7-9072-E37A31A7C72E}" uniqueName="6" name="Precip" queryTableFieldId="6"/>
    <tableColumn id="7" xr3:uid="{00257B0C-14BE-453D-A625-E65F43782F3E}" uniqueName="7" name="Precip Prob" queryTableFieldId="7"/>
    <tableColumn id="8" xr3:uid="{66D6DEB4-BA78-459C-8358-77F5374CDCC4}" uniqueName="8" name="Wind Gust" queryTableFieldId="8"/>
    <tableColumn id="9" xr3:uid="{BA64BD72-8332-41EE-960C-6373D7BAD17D}" uniqueName="9" name="Wind Speed" queryTableFieldId="9"/>
    <tableColumn id="10" xr3:uid="{5D2AC2D8-9C2D-4A22-A612-574D1031B909}" uniqueName="10" name="Cloud Cover" queryTableFieldId="10"/>
    <tableColumn id="11" xr3:uid="{B6C067CB-BA48-46ED-A9C2-49059F7C6C1C}" uniqueName="11" name="UV Index" queryTableFieldId="11"/>
    <tableColumn id="12" xr3:uid="{3C762D3A-0B66-4FB2-945E-AF9FB816B8F5}" uniqueName="12" name="Sunrise" queryTableFieldId="12" dataDxfId="7"/>
    <tableColumn id="13" xr3:uid="{9231B0F7-983C-44DC-AFC1-553FDAA8BE26}" uniqueName="13" name="Sunset" queryTableFieldId="13" dataDxfId="6"/>
    <tableColumn id="14" xr3:uid="{501DDDEE-3A2B-4983-8E0B-9C714BD21236}" uniqueName="14" name="Conditions" queryTableFieldId="14" dataDxfId="66"/>
    <tableColumn id="15" xr3:uid="{1BE0247A-D61B-4E5A-8060-F2C81AF8D2A0}" uniqueName="15" name="Description" queryTableFieldId="15" dataDxfId="65"/>
    <tableColumn id="16" xr3:uid="{E29F81D6-B916-4BF2-8917-829440AE32C9}" uniqueName="16" name="Icon" queryTableFieldId="16" dataDxfId="64"/>
    <tableColumn id="17" xr3:uid="{26A0348B-4423-45F0-A5AC-73FAD61E549F}" uniqueName="17" name="City" queryTableFieldId="17" dataDxfId="6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316CFD-3171-46B6-B124-18DB9F5B6FE3}" name="Coimbatore" displayName="Coimbatore" ref="A1:Q16" tableType="queryTable" totalsRowShown="0">
  <autoFilter ref="A1:Q16" xr:uid="{23316CFD-3171-46B6-B124-18DB9F5B6FE3}"/>
  <tableColumns count="17">
    <tableColumn id="1" xr3:uid="{6BFA2402-CA02-40AC-89A3-193DC9959905}" uniqueName="1" name="Date" queryTableFieldId="1" dataDxfId="5"/>
    <tableColumn id="2" xr3:uid="{AF3F8062-B524-45CE-A586-C53C494CB67F}" uniqueName="2" name="Temp Max" queryTableFieldId="2"/>
    <tableColumn id="3" xr3:uid="{914A1250-01C0-4F85-AD46-AC538120C4F9}" uniqueName="3" name="Temp Min" queryTableFieldId="3"/>
    <tableColumn id="4" xr3:uid="{FD2098A9-5BC2-47B2-BDBA-409423834886}" uniqueName="4" name="Temp" queryTableFieldId="4"/>
    <tableColumn id="5" xr3:uid="{5DA244F4-D801-40E9-8F8A-AEE2473B951E}" uniqueName="5" name="Humidity" queryTableFieldId="5"/>
    <tableColumn id="6" xr3:uid="{1F5788E7-E606-4926-A379-3F252EF4E4D9}" uniqueName="6" name="Precip" queryTableFieldId="6"/>
    <tableColumn id="7" xr3:uid="{2A37304E-EAC9-4F1B-8200-E80E60F4EE9B}" uniqueName="7" name="Precip Prob" queryTableFieldId="7"/>
    <tableColumn id="8" xr3:uid="{4154CA0E-2BB3-4F3E-84B8-4B1DE87DBE38}" uniqueName="8" name="Wind Gust" queryTableFieldId="8"/>
    <tableColumn id="9" xr3:uid="{39A0DE33-CF8A-46AC-A950-FE3F5391C1F6}" uniqueName="9" name="Wind Speed" queryTableFieldId="9"/>
    <tableColumn id="10" xr3:uid="{5BE1694D-9659-4142-B99C-1DD981922B5C}" uniqueName="10" name="Cloud Cover" queryTableFieldId="10"/>
    <tableColumn id="11" xr3:uid="{BF973589-846C-4527-A59A-4E69A260BBEC}" uniqueName="11" name="UV Index" queryTableFieldId="11"/>
    <tableColumn id="12" xr3:uid="{0D6BC429-7C46-40B8-8F48-69BCFA834F5D}" uniqueName="12" name="Sunrise" queryTableFieldId="12" dataDxfId="4"/>
    <tableColumn id="13" xr3:uid="{8EFC7EEE-7FFF-4BF2-96DA-6171D5C93C0D}" uniqueName="13" name="Sunset" queryTableFieldId="13" dataDxfId="3"/>
    <tableColumn id="14" xr3:uid="{8F9493D6-50EF-45BE-AE05-8380663A2AC9}" uniqueName="14" name="Conditions" queryTableFieldId="14" dataDxfId="62"/>
    <tableColumn id="15" xr3:uid="{73B98D12-0660-47A4-AA7B-38212C808505}" uniqueName="15" name="Description" queryTableFieldId="15" dataDxfId="61"/>
    <tableColumn id="16" xr3:uid="{F918EF44-95B5-43C7-84F8-58DFBA57FD54}" uniqueName="16" name="Icon" queryTableFieldId="16" dataDxfId="60"/>
    <tableColumn id="17" xr3:uid="{C1C5517E-74C6-4F2F-A355-1CE4E8C987B9}" uniqueName="17" name="City" queryTableFieldId="17" dataDxfId="5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49BB81-BC4E-40A3-A752-A68FBE86B7C0}" name="Weather" displayName="Weather" ref="A1:Q61" tableType="queryTable" totalsRowShown="0">
  <autoFilter ref="A1:Q61" xr:uid="{7949BB81-BC4E-40A3-A752-A68FBE86B7C0}"/>
  <tableColumns count="17">
    <tableColumn id="1" xr3:uid="{0FD0C5A8-E384-4F2A-BB67-26CB3D1336E6}" uniqueName="1" name="Date" queryTableFieldId="1" dataDxfId="2"/>
    <tableColumn id="2" xr3:uid="{E6C28471-6785-416C-A54A-524D0F5588DB}" uniqueName="2" name="Temp Max" queryTableFieldId="2"/>
    <tableColumn id="3" xr3:uid="{1E3357B2-5B52-48F0-895E-C41AC8E57A99}" uniqueName="3" name="Temp Min" queryTableFieldId="3"/>
    <tableColumn id="4" xr3:uid="{9AEF623A-8FD7-412F-A4AE-E130005F99D4}" uniqueName="4" name="Temp" queryTableFieldId="4"/>
    <tableColumn id="5" xr3:uid="{CDCB2890-3995-4D40-A98A-7F3901B5849C}" uniqueName="5" name="Humidity" queryTableFieldId="5"/>
    <tableColumn id="6" xr3:uid="{2949B236-1A02-4CBE-9179-2971DFD29B65}" uniqueName="6" name="Precip" queryTableFieldId="6"/>
    <tableColumn id="7" xr3:uid="{252539EE-9543-48D8-8C91-F589D37C854A}" uniqueName="7" name="Precip Prob" queryTableFieldId="7"/>
    <tableColumn id="8" xr3:uid="{30970102-E9ED-4455-9ED8-B0A016A577EE}" uniqueName="8" name="Wind Gust" queryTableFieldId="8"/>
    <tableColumn id="9" xr3:uid="{2B93E8F1-6AC4-4A68-A8F1-E59E285BE8F3}" uniqueName="9" name="Wind Speed" queryTableFieldId="9"/>
    <tableColumn id="10" xr3:uid="{7341BF6A-39AA-4EA1-B76C-3FD57674F76A}" uniqueName="10" name="Cloud Cover" queryTableFieldId="10"/>
    <tableColumn id="11" xr3:uid="{64CB5676-D610-479B-97C5-03DE67096B41}" uniqueName="11" name="UV Index" queryTableFieldId="11"/>
    <tableColumn id="12" xr3:uid="{6D6B96C0-2E6E-4BA3-8097-9195C2A10528}" uniqueName="12" name="Sunrise" queryTableFieldId="12" dataDxfId="1"/>
    <tableColumn id="13" xr3:uid="{B02D38E4-B97B-4EB5-A6BA-C69088B8174C}" uniqueName="13" name="Sunset" queryTableFieldId="13" dataDxfId="0"/>
    <tableColumn id="14" xr3:uid="{125AB7B9-41F5-4B2B-86BD-5EC3BB3D93F1}" uniqueName="14" name="Conditions" queryTableFieldId="14" dataDxfId="58"/>
    <tableColumn id="15" xr3:uid="{DDE2F05E-387A-463C-84FD-F99853AD36BC}" uniqueName="15" name="Description" queryTableFieldId="15" dataDxfId="57"/>
    <tableColumn id="16" xr3:uid="{42BE5DBC-5CB1-4639-A00C-838570AC48B3}" uniqueName="16" name="Icon" queryTableFieldId="16" dataDxfId="56"/>
    <tableColumn id="17" xr3:uid="{8BCA95E6-EEE5-46C7-B3BA-F42845600834}" uniqueName="17" name="City" queryTableFieldId="17" dataDxfId="5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D826F53-A4B8-43B1-8D00-4EC5CAB9637A}" sourceName="Date">
  <pivotTables>
    <pivotTable tabId="7" name="UV-IndexTable"/>
    <pivotTable tabId="7" name="HumidTable"/>
    <pivotTable tabId="7" name="Min_Max_TempTable"/>
    <pivotTable tabId="7" name="PrecipTable"/>
    <pivotTable tabId="7" name="Sunrise_Sunset_Table"/>
    <pivotTable tabId="7" name="TemperatureTable"/>
    <pivotTable tabId="7" name="Wind_Gust_SpeedTable"/>
    <pivotTable tabId="15" name="HumidTable"/>
    <pivotTable tabId="15" name="Min_Max_TempTable"/>
    <pivotTable tabId="15" name="PrecipTable"/>
    <pivotTable tabId="15" name="Sunrise_Sunset_Table"/>
    <pivotTable tabId="15" name="TemperatureTable"/>
    <pivotTable tabId="15" name="UV-IndexTable"/>
    <pivotTable tabId="15" name="Wind_Gust_SpeedTable"/>
    <pivotTable tabId="14" name="HumidTable"/>
    <pivotTable tabId="14" name="Min_Max_TempTable"/>
    <pivotTable tabId="14" name="PrecipTable"/>
    <pivotTable tabId="14" name="Sunrise_Sunset_Table"/>
    <pivotTable tabId="14" name="TemperatureTable"/>
    <pivotTable tabId="14" name="UV-IndexTable"/>
    <pivotTable tabId="14" name="Wind_Gust_SpeedTable"/>
    <pivotTable tabId="16" name="HumidTable"/>
    <pivotTable tabId="16" name="Min_Max_TempTable"/>
    <pivotTable tabId="16" name="PrecipTable"/>
    <pivotTable tabId="16" name="Sunrise_Sunset_Table"/>
    <pivotTable tabId="16" name="TemperatureTable"/>
    <pivotTable tabId="16" name="UV-IndexTable"/>
    <pivotTable tabId="16" name="Wind_Gust_SpeedTable"/>
    <pivotTable tabId="17" name="HumidTable"/>
    <pivotTable tabId="17" name="Min_Max_TempTable"/>
    <pivotTable tabId="17" name="PrecipTable"/>
    <pivotTable tabId="17" name="Sunrise_Sunset_Table"/>
    <pivotTable tabId="17" name="TemperatureTable"/>
    <pivotTable tabId="17" name="UV-IndexTable"/>
    <pivotTable tabId="17" name="Wind_Gust_SpeedTable"/>
    <pivotTable tabId="7" name="Cloudcover"/>
    <pivotTable tabId="15" name="PivotTable11"/>
    <pivotTable tabId="14" name="Cloud-cover1"/>
    <pivotTable tabId="16" name="PivotTable12"/>
    <pivotTable tabId="17" name="PivotTable13"/>
  </pivotTables>
  <state minimalRefreshVersion="6" lastRefreshVersion="6" pivotCacheId="1496754586"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AA4B8123-5533-4686-8823-988E97BC6CF2}" cache="NativeTimeline_Date" caption="Date" showHeader="0" showSelectionLabel="0" showTimeLevel="0" showHorizontalScrollbar="0" level="2" selectionLevel="2" scrollPosition="2025-07-01T00:00:00" style="Weather"/>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3B1498DA-78A9-479F-BC2E-5ED04AA51042}" cache="NativeTimeline_Date" caption="Date" showHeader="0" showSelectionLabel="0" showTimeLevel="0" showHorizontalScrollbar="0" level="2" selectionLevel="2" scrollPosition="2025-07-01T00:00:00" style="Weather"/>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7A337600-6ED2-46AB-97C5-DAE91D2108A6}" cache="NativeTimeline_Date" caption="Date" showHeader="0" showSelectionLabel="0" showTimeLevel="0" showHorizontalScrollbar="0" level="2" selectionLevel="2" scrollPosition="2025-07-01T00:00:00" style="Weather"/>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6" xr10:uid="{A2F4971F-DC77-449F-A293-D7DF392A782C}" cache="NativeTimeline_Date" caption="Date" showHeader="0" showSelectionLabel="0" showTimeLevel="0" showHorizontalScrollbar="0" level="2" selectionLevel="2" scrollPosition="2025-07-01T00:00:00" style="Weather"/>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8" xr10:uid="{FE558AF6-BA8B-47D5-ADEA-3D5E59669756}" cache="NativeTimeline_Date" caption="Date" showHeader="0" showSelectionLabel="0" showTimeLevel="0" showHorizontalScrollbar="0" level="2" selectionLevel="2" scrollPosition="2025-07-01T00:00:00" style="Weather"/>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24.xml"/><Relationship Id="rId3" Type="http://schemas.openxmlformats.org/officeDocument/2006/relationships/pivotTable" Target="../pivotTables/pivotTable19.xml"/><Relationship Id="rId7" Type="http://schemas.openxmlformats.org/officeDocument/2006/relationships/pivotTable" Target="../pivotTables/pivotTable23.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32.xml"/><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40.xml"/><Relationship Id="rId3" Type="http://schemas.openxmlformats.org/officeDocument/2006/relationships/pivotTable" Target="../pivotTables/pivotTable35.xml"/><Relationship Id="rId7" Type="http://schemas.openxmlformats.org/officeDocument/2006/relationships/pivotTable" Target="../pivotTables/pivotTable39.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4.x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microsoft.com/office/2011/relationships/timeline" Target="../timelines/timeline5.xml"/><Relationship Id="rId2" Type="http://schemas.microsoft.com/office/2007/relationships/slicer" Target="../slicers/slicer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6C9F0-E3C8-4C78-95DB-BF47F366D4B5}">
  <sheetPr codeName="Sheet1"/>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47.5546875" bestFit="1" customWidth="1"/>
    <col min="16" max="16" width="15.33203125" bestFit="1" customWidth="1"/>
    <col min="17" max="17" width="6.441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31</v>
      </c>
    </row>
    <row r="2" spans="1:17" x14ac:dyDescent="0.3">
      <c r="A2" s="1">
        <v>45964</v>
      </c>
      <c r="B2">
        <v>36</v>
      </c>
      <c r="C2">
        <v>25</v>
      </c>
      <c r="D2">
        <v>29.8</v>
      </c>
      <c r="E2">
        <v>73.8</v>
      </c>
      <c r="F2">
        <v>1.8</v>
      </c>
      <c r="G2">
        <v>100</v>
      </c>
      <c r="H2">
        <v>31</v>
      </c>
      <c r="I2">
        <v>22.3</v>
      </c>
      <c r="J2">
        <v>44.6</v>
      </c>
      <c r="K2">
        <v>9</v>
      </c>
      <c r="L2" s="2">
        <v>0.25490740740740742</v>
      </c>
      <c r="M2" s="2">
        <v>0.74333333333333329</v>
      </c>
      <c r="N2" t="s">
        <v>16</v>
      </c>
      <c r="O2" t="s">
        <v>30</v>
      </c>
      <c r="P2" t="s">
        <v>17</v>
      </c>
      <c r="Q2" t="s">
        <v>35</v>
      </c>
    </row>
    <row r="3" spans="1:17" x14ac:dyDescent="0.3">
      <c r="A3" s="1">
        <v>45965</v>
      </c>
      <c r="B3">
        <v>31.1</v>
      </c>
      <c r="C3">
        <v>23.9</v>
      </c>
      <c r="D3">
        <v>27</v>
      </c>
      <c r="E3">
        <v>74.599999999999994</v>
      </c>
      <c r="F3">
        <v>0.6</v>
      </c>
      <c r="G3">
        <v>90.3</v>
      </c>
      <c r="H3">
        <v>41.8</v>
      </c>
      <c r="I3">
        <v>25.9</v>
      </c>
      <c r="J3">
        <v>99</v>
      </c>
      <c r="K3">
        <v>7</v>
      </c>
      <c r="L3" s="2">
        <v>0.25509259259259259</v>
      </c>
      <c r="M3" s="2">
        <v>0.7431712962962963</v>
      </c>
      <c r="N3" t="s">
        <v>27</v>
      </c>
      <c r="O3" t="s">
        <v>29</v>
      </c>
      <c r="P3" t="s">
        <v>17</v>
      </c>
      <c r="Q3" t="s">
        <v>35</v>
      </c>
    </row>
    <row r="4" spans="1:17" x14ac:dyDescent="0.3">
      <c r="A4" s="1">
        <v>45966</v>
      </c>
      <c r="B4">
        <v>32.700000000000003</v>
      </c>
      <c r="C4">
        <v>24.1</v>
      </c>
      <c r="D4">
        <v>27</v>
      </c>
      <c r="E4">
        <v>75.900000000000006</v>
      </c>
      <c r="F4">
        <v>14</v>
      </c>
      <c r="G4">
        <v>83.9</v>
      </c>
      <c r="H4">
        <v>38.200000000000003</v>
      </c>
      <c r="I4">
        <v>17.600000000000001</v>
      </c>
      <c r="J4">
        <v>85</v>
      </c>
      <c r="K4">
        <v>9</v>
      </c>
      <c r="L4" s="2">
        <v>0.25527777777777777</v>
      </c>
      <c r="M4" s="2">
        <v>0.74300925925925931</v>
      </c>
      <c r="N4" t="s">
        <v>16</v>
      </c>
      <c r="O4" t="s">
        <v>30</v>
      </c>
      <c r="P4" t="s">
        <v>17</v>
      </c>
      <c r="Q4" t="s">
        <v>35</v>
      </c>
    </row>
    <row r="5" spans="1:17" x14ac:dyDescent="0.3">
      <c r="A5" s="1">
        <v>45967</v>
      </c>
      <c r="B5">
        <v>30.9</v>
      </c>
      <c r="C5">
        <v>22.8</v>
      </c>
      <c r="D5">
        <v>26</v>
      </c>
      <c r="E5">
        <v>78.7</v>
      </c>
      <c r="F5">
        <v>18.3</v>
      </c>
      <c r="G5">
        <v>64.5</v>
      </c>
      <c r="H5">
        <v>38.9</v>
      </c>
      <c r="I5">
        <v>22</v>
      </c>
      <c r="J5">
        <v>87.6</v>
      </c>
      <c r="K5">
        <v>9</v>
      </c>
      <c r="L5" s="2">
        <v>0.25547453703703704</v>
      </c>
      <c r="M5" s="2">
        <v>0.7428703703703704</v>
      </c>
      <c r="N5" t="s">
        <v>16</v>
      </c>
      <c r="O5" t="s">
        <v>30</v>
      </c>
      <c r="P5" t="s">
        <v>17</v>
      </c>
      <c r="Q5" t="s">
        <v>35</v>
      </c>
    </row>
    <row r="6" spans="1:17" x14ac:dyDescent="0.3">
      <c r="A6" s="1">
        <v>45968</v>
      </c>
      <c r="B6">
        <v>31.4</v>
      </c>
      <c r="C6">
        <v>22.3</v>
      </c>
      <c r="D6">
        <v>26.2</v>
      </c>
      <c r="E6">
        <v>77</v>
      </c>
      <c r="F6">
        <v>3.2</v>
      </c>
      <c r="G6">
        <v>38.700000000000003</v>
      </c>
      <c r="H6">
        <v>41.4</v>
      </c>
      <c r="I6">
        <v>21.2</v>
      </c>
      <c r="J6">
        <v>39.4</v>
      </c>
      <c r="K6">
        <v>9</v>
      </c>
      <c r="L6" s="2">
        <v>0.25567129629629631</v>
      </c>
      <c r="M6" s="2">
        <v>0.74274305555555553</v>
      </c>
      <c r="N6" t="s">
        <v>21</v>
      </c>
      <c r="O6" t="s">
        <v>30</v>
      </c>
      <c r="P6" t="s">
        <v>22</v>
      </c>
      <c r="Q6" t="s">
        <v>35</v>
      </c>
    </row>
    <row r="7" spans="1:17" x14ac:dyDescent="0.3">
      <c r="A7" s="1">
        <v>45969</v>
      </c>
      <c r="B7">
        <v>29.8</v>
      </c>
      <c r="C7">
        <v>22.6</v>
      </c>
      <c r="D7">
        <v>25.7</v>
      </c>
      <c r="E7">
        <v>80.5</v>
      </c>
      <c r="F7">
        <v>16.100000000000001</v>
      </c>
      <c r="G7">
        <v>54.8</v>
      </c>
      <c r="H7">
        <v>24.1</v>
      </c>
      <c r="I7">
        <v>13.3</v>
      </c>
      <c r="J7">
        <v>42.6</v>
      </c>
      <c r="K7">
        <v>9</v>
      </c>
      <c r="L7" s="2">
        <v>0.25587962962962962</v>
      </c>
      <c r="M7" s="2">
        <v>0.74262731481481481</v>
      </c>
      <c r="N7" t="s">
        <v>16</v>
      </c>
      <c r="O7" t="s">
        <v>52</v>
      </c>
      <c r="P7" t="s">
        <v>17</v>
      </c>
      <c r="Q7" t="s">
        <v>35</v>
      </c>
    </row>
    <row r="8" spans="1:17" x14ac:dyDescent="0.3">
      <c r="A8" s="1">
        <v>45970</v>
      </c>
      <c r="B8">
        <v>30.5</v>
      </c>
      <c r="C8">
        <v>23.3</v>
      </c>
      <c r="D8">
        <v>26.1</v>
      </c>
      <c r="E8">
        <v>74.2</v>
      </c>
      <c r="F8">
        <v>3.4</v>
      </c>
      <c r="G8">
        <v>54.8</v>
      </c>
      <c r="H8">
        <v>24.5</v>
      </c>
      <c r="I8">
        <v>13.3</v>
      </c>
      <c r="J8">
        <v>90.5</v>
      </c>
      <c r="K8">
        <v>8</v>
      </c>
      <c r="L8" s="2">
        <v>0.25609953703703703</v>
      </c>
      <c r="M8" s="2">
        <v>0.74251157407407409</v>
      </c>
      <c r="N8" t="s">
        <v>27</v>
      </c>
      <c r="O8" t="s">
        <v>50</v>
      </c>
      <c r="P8" t="s">
        <v>17</v>
      </c>
      <c r="Q8" t="s">
        <v>35</v>
      </c>
    </row>
    <row r="9" spans="1:17" x14ac:dyDescent="0.3">
      <c r="A9" s="1">
        <v>45971</v>
      </c>
      <c r="B9">
        <v>29.7</v>
      </c>
      <c r="C9">
        <v>21.3</v>
      </c>
      <c r="D9">
        <v>24.9</v>
      </c>
      <c r="E9">
        <v>67.8</v>
      </c>
      <c r="F9">
        <v>0</v>
      </c>
      <c r="G9">
        <v>35.5</v>
      </c>
      <c r="H9">
        <v>23</v>
      </c>
      <c r="I9">
        <v>11.9</v>
      </c>
      <c r="J9">
        <v>52.6</v>
      </c>
      <c r="K9">
        <v>9</v>
      </c>
      <c r="L9" s="2">
        <v>0.25633101851851853</v>
      </c>
      <c r="M9" s="2">
        <v>0.74241898148148144</v>
      </c>
      <c r="N9" t="s">
        <v>21</v>
      </c>
      <c r="O9" t="s">
        <v>23</v>
      </c>
      <c r="P9" t="s">
        <v>22</v>
      </c>
      <c r="Q9" t="s">
        <v>35</v>
      </c>
    </row>
    <row r="10" spans="1:17" x14ac:dyDescent="0.3">
      <c r="A10" s="1">
        <v>45972</v>
      </c>
      <c r="B10">
        <v>30.1</v>
      </c>
      <c r="C10">
        <v>21.5</v>
      </c>
      <c r="D10">
        <v>25.4</v>
      </c>
      <c r="E10">
        <v>69.5</v>
      </c>
      <c r="F10">
        <v>0</v>
      </c>
      <c r="G10">
        <v>19.399999999999999</v>
      </c>
      <c r="H10">
        <v>22.3</v>
      </c>
      <c r="I10">
        <v>12.6</v>
      </c>
      <c r="J10">
        <v>58.9</v>
      </c>
      <c r="K10">
        <v>8</v>
      </c>
      <c r="L10" s="2">
        <v>0.25656250000000003</v>
      </c>
      <c r="M10" s="2">
        <v>0.74233796296296295</v>
      </c>
      <c r="N10" t="s">
        <v>21</v>
      </c>
      <c r="O10" t="s">
        <v>23</v>
      </c>
      <c r="P10" t="s">
        <v>22</v>
      </c>
      <c r="Q10" t="s">
        <v>35</v>
      </c>
    </row>
    <row r="11" spans="1:17" x14ac:dyDescent="0.3">
      <c r="A11" s="1">
        <v>45973</v>
      </c>
      <c r="B11">
        <v>29.5</v>
      </c>
      <c r="C11">
        <v>21.6</v>
      </c>
      <c r="D11">
        <v>25.1</v>
      </c>
      <c r="E11">
        <v>68.5</v>
      </c>
      <c r="F11">
        <v>0</v>
      </c>
      <c r="G11">
        <v>12.9</v>
      </c>
      <c r="H11">
        <v>19.8</v>
      </c>
      <c r="I11">
        <v>13</v>
      </c>
      <c r="J11">
        <v>59.6</v>
      </c>
      <c r="K11">
        <v>8</v>
      </c>
      <c r="L11" s="2">
        <v>0.25680555555555556</v>
      </c>
      <c r="M11" s="2">
        <v>0.74226851851851849</v>
      </c>
      <c r="N11" t="s">
        <v>21</v>
      </c>
      <c r="O11" t="s">
        <v>23</v>
      </c>
      <c r="P11" t="s">
        <v>22</v>
      </c>
      <c r="Q11" t="s">
        <v>35</v>
      </c>
    </row>
    <row r="12" spans="1:17" x14ac:dyDescent="0.3">
      <c r="A12" s="1">
        <v>45974</v>
      </c>
      <c r="B12">
        <v>29.4</v>
      </c>
      <c r="C12">
        <v>21.5</v>
      </c>
      <c r="D12">
        <v>24.7</v>
      </c>
      <c r="E12">
        <v>68.3</v>
      </c>
      <c r="F12">
        <v>0</v>
      </c>
      <c r="G12">
        <v>6.5</v>
      </c>
      <c r="H12">
        <v>22.7</v>
      </c>
      <c r="I12">
        <v>17.600000000000001</v>
      </c>
      <c r="J12">
        <v>72.7</v>
      </c>
      <c r="K12">
        <v>8</v>
      </c>
      <c r="L12" s="2">
        <v>0.2570486111111111</v>
      </c>
      <c r="M12" s="2">
        <v>0.74221064814814819</v>
      </c>
      <c r="N12" t="s">
        <v>21</v>
      </c>
      <c r="O12" t="s">
        <v>23</v>
      </c>
      <c r="P12" t="s">
        <v>22</v>
      </c>
      <c r="Q12" t="s">
        <v>35</v>
      </c>
    </row>
    <row r="13" spans="1:17" x14ac:dyDescent="0.3">
      <c r="A13" s="1">
        <v>45975</v>
      </c>
      <c r="B13">
        <v>29.2</v>
      </c>
      <c r="C13">
        <v>21.4</v>
      </c>
      <c r="D13">
        <v>24.5</v>
      </c>
      <c r="E13">
        <v>67</v>
      </c>
      <c r="F13">
        <v>0</v>
      </c>
      <c r="G13">
        <v>3.2</v>
      </c>
      <c r="H13">
        <v>25.6</v>
      </c>
      <c r="I13">
        <v>17.3</v>
      </c>
      <c r="J13">
        <v>80.599999999999994</v>
      </c>
      <c r="K13">
        <v>8</v>
      </c>
      <c r="L13" s="2">
        <v>0.25731481481481483</v>
      </c>
      <c r="M13" s="2">
        <v>0.74217592592592596</v>
      </c>
      <c r="N13" t="s">
        <v>21</v>
      </c>
      <c r="O13" t="s">
        <v>23</v>
      </c>
      <c r="P13" t="s">
        <v>22</v>
      </c>
      <c r="Q13" t="s">
        <v>35</v>
      </c>
    </row>
    <row r="14" spans="1:17" x14ac:dyDescent="0.3">
      <c r="A14" s="1">
        <v>45976</v>
      </c>
      <c r="B14">
        <v>29.3</v>
      </c>
      <c r="C14">
        <v>20.6</v>
      </c>
      <c r="D14">
        <v>24.1</v>
      </c>
      <c r="E14">
        <v>69.099999999999994</v>
      </c>
      <c r="F14">
        <v>0</v>
      </c>
      <c r="G14">
        <v>6.5</v>
      </c>
      <c r="H14">
        <v>28.1</v>
      </c>
      <c r="I14">
        <v>17.3</v>
      </c>
      <c r="J14">
        <v>56.1</v>
      </c>
      <c r="K14">
        <v>9</v>
      </c>
      <c r="L14" s="2">
        <v>0.25756944444444446</v>
      </c>
      <c r="M14" s="2">
        <v>0.74214120370370373</v>
      </c>
      <c r="N14" t="s">
        <v>21</v>
      </c>
      <c r="O14" t="s">
        <v>23</v>
      </c>
      <c r="P14" t="s">
        <v>22</v>
      </c>
      <c r="Q14" t="s">
        <v>35</v>
      </c>
    </row>
    <row r="15" spans="1:17" x14ac:dyDescent="0.3">
      <c r="A15" s="1">
        <v>45977</v>
      </c>
      <c r="B15">
        <v>29.5</v>
      </c>
      <c r="C15">
        <v>20</v>
      </c>
      <c r="D15">
        <v>23.9</v>
      </c>
      <c r="E15">
        <v>68.599999999999994</v>
      </c>
      <c r="F15">
        <v>0</v>
      </c>
      <c r="G15">
        <v>9.6999999999999993</v>
      </c>
      <c r="H15">
        <v>26.3</v>
      </c>
      <c r="I15">
        <v>13.7</v>
      </c>
      <c r="J15">
        <v>42.5</v>
      </c>
      <c r="K15">
        <v>9</v>
      </c>
      <c r="L15" s="2">
        <v>0.25784722222222223</v>
      </c>
      <c r="M15" s="2">
        <v>0.74211805555555554</v>
      </c>
      <c r="N15" t="s">
        <v>21</v>
      </c>
      <c r="O15" t="s">
        <v>23</v>
      </c>
      <c r="P15" t="s">
        <v>22</v>
      </c>
      <c r="Q15" t="s">
        <v>35</v>
      </c>
    </row>
    <row r="16" spans="1:17" x14ac:dyDescent="0.3">
      <c r="A16" s="1">
        <v>45978</v>
      </c>
      <c r="B16">
        <v>29.3</v>
      </c>
      <c r="C16">
        <v>19.7</v>
      </c>
      <c r="D16">
        <v>23.6</v>
      </c>
      <c r="E16">
        <v>64.5</v>
      </c>
      <c r="F16">
        <v>0</v>
      </c>
      <c r="G16">
        <v>16.100000000000001</v>
      </c>
      <c r="H16">
        <v>27.4</v>
      </c>
      <c r="I16">
        <v>15.1</v>
      </c>
      <c r="J16">
        <v>24.6</v>
      </c>
      <c r="K16">
        <v>9</v>
      </c>
      <c r="L16" s="2">
        <v>0.25812499999999999</v>
      </c>
      <c r="M16" s="2">
        <v>0.74211805555555554</v>
      </c>
      <c r="N16" t="s">
        <v>21</v>
      </c>
      <c r="O16" t="s">
        <v>23</v>
      </c>
      <c r="P16" t="s">
        <v>22</v>
      </c>
      <c r="Q16" t="s">
        <v>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A029C-7A06-4B29-9D67-6A0E9FA3C22A}">
  <sheetPr codeName="Sheet2"/>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2.88671875" bestFit="1" customWidth="1"/>
    <col min="16" max="16" width="15.33203125" bestFit="1" customWidth="1"/>
    <col min="17" max="17" width="7.777343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31</v>
      </c>
    </row>
    <row r="2" spans="1:17" x14ac:dyDescent="0.3">
      <c r="A2" s="1">
        <v>45964</v>
      </c>
      <c r="B2">
        <v>36</v>
      </c>
      <c r="C2">
        <v>25</v>
      </c>
      <c r="D2">
        <v>29.7</v>
      </c>
      <c r="E2">
        <v>65.8</v>
      </c>
      <c r="F2">
        <v>1.8</v>
      </c>
      <c r="G2">
        <v>38.700000000000003</v>
      </c>
      <c r="H2">
        <v>13.3</v>
      </c>
      <c r="I2">
        <v>14.8</v>
      </c>
      <c r="J2">
        <v>45.1</v>
      </c>
      <c r="K2">
        <v>9</v>
      </c>
      <c r="L2" s="2">
        <v>0.25583333333333336</v>
      </c>
      <c r="M2" s="2">
        <v>0.74561342592592594</v>
      </c>
      <c r="N2" t="s">
        <v>21</v>
      </c>
      <c r="O2" t="s">
        <v>23</v>
      </c>
      <c r="P2" t="s">
        <v>22</v>
      </c>
      <c r="Q2" t="s">
        <v>34</v>
      </c>
    </row>
    <row r="3" spans="1:17" x14ac:dyDescent="0.3">
      <c r="A3" s="1">
        <v>45965</v>
      </c>
      <c r="B3">
        <v>31.1</v>
      </c>
      <c r="C3">
        <v>24</v>
      </c>
      <c r="D3">
        <v>27.1</v>
      </c>
      <c r="E3">
        <v>71.7</v>
      </c>
      <c r="F3">
        <v>2</v>
      </c>
      <c r="G3">
        <v>67.7</v>
      </c>
      <c r="H3">
        <v>16.600000000000001</v>
      </c>
      <c r="I3">
        <v>11.9</v>
      </c>
      <c r="J3">
        <v>99.7</v>
      </c>
      <c r="K3">
        <v>7</v>
      </c>
      <c r="L3" s="2">
        <v>0.25599537037037035</v>
      </c>
      <c r="M3" s="2">
        <v>0.74546296296296299</v>
      </c>
      <c r="N3" t="s">
        <v>27</v>
      </c>
      <c r="O3" t="s">
        <v>29</v>
      </c>
      <c r="P3" t="s">
        <v>17</v>
      </c>
      <c r="Q3" t="s">
        <v>34</v>
      </c>
    </row>
    <row r="4" spans="1:17" x14ac:dyDescent="0.3">
      <c r="A4" s="1">
        <v>45966</v>
      </c>
      <c r="B4">
        <v>31.4</v>
      </c>
      <c r="C4">
        <v>23.4</v>
      </c>
      <c r="D4">
        <v>26.7</v>
      </c>
      <c r="E4">
        <v>75</v>
      </c>
      <c r="F4">
        <v>21.6</v>
      </c>
      <c r="G4">
        <v>96.8</v>
      </c>
      <c r="H4">
        <v>10.4</v>
      </c>
      <c r="I4">
        <v>11.2</v>
      </c>
      <c r="J4">
        <v>73.099999999999994</v>
      </c>
      <c r="K4">
        <v>9</v>
      </c>
      <c r="L4" s="2">
        <v>0.25616898148148148</v>
      </c>
      <c r="M4" s="2">
        <v>0.74532407407407408</v>
      </c>
      <c r="N4" t="s">
        <v>16</v>
      </c>
      <c r="O4" t="s">
        <v>30</v>
      </c>
      <c r="P4" t="s">
        <v>17</v>
      </c>
      <c r="Q4" t="s">
        <v>34</v>
      </c>
    </row>
    <row r="5" spans="1:17" x14ac:dyDescent="0.3">
      <c r="A5" s="1">
        <v>45967</v>
      </c>
      <c r="B5">
        <v>29.4</v>
      </c>
      <c r="C5">
        <v>21.7</v>
      </c>
      <c r="D5">
        <v>25</v>
      </c>
      <c r="E5">
        <v>75.599999999999994</v>
      </c>
      <c r="F5">
        <v>7.1</v>
      </c>
      <c r="G5">
        <v>77.400000000000006</v>
      </c>
      <c r="H5">
        <v>21.6</v>
      </c>
      <c r="I5">
        <v>12.2</v>
      </c>
      <c r="J5">
        <v>92.8</v>
      </c>
      <c r="K5">
        <v>9</v>
      </c>
      <c r="L5" s="2">
        <v>0.25635416666666666</v>
      </c>
      <c r="M5" s="2">
        <v>0.74519675925925921</v>
      </c>
      <c r="N5" t="s">
        <v>27</v>
      </c>
      <c r="O5" t="s">
        <v>50</v>
      </c>
      <c r="P5" t="s">
        <v>17</v>
      </c>
      <c r="Q5" t="s">
        <v>34</v>
      </c>
    </row>
    <row r="6" spans="1:17" x14ac:dyDescent="0.3">
      <c r="A6" s="1">
        <v>45968</v>
      </c>
      <c r="B6">
        <v>31</v>
      </c>
      <c r="C6">
        <v>23.4</v>
      </c>
      <c r="D6">
        <v>26.3</v>
      </c>
      <c r="E6">
        <v>72.099999999999994</v>
      </c>
      <c r="F6">
        <v>3.4</v>
      </c>
      <c r="G6">
        <v>16.100000000000001</v>
      </c>
      <c r="H6">
        <v>13.3</v>
      </c>
      <c r="I6">
        <v>9.4</v>
      </c>
      <c r="J6">
        <v>49.9</v>
      </c>
      <c r="K6">
        <v>9</v>
      </c>
      <c r="L6" s="2">
        <v>0.25653935185185184</v>
      </c>
      <c r="M6" s="2">
        <v>0.74508101851851849</v>
      </c>
      <c r="N6" t="s">
        <v>21</v>
      </c>
      <c r="O6" t="s">
        <v>23</v>
      </c>
      <c r="P6" t="s">
        <v>22</v>
      </c>
      <c r="Q6" t="s">
        <v>34</v>
      </c>
    </row>
    <row r="7" spans="1:17" x14ac:dyDescent="0.3">
      <c r="A7" s="1">
        <v>45969</v>
      </c>
      <c r="B7">
        <v>30.5</v>
      </c>
      <c r="C7">
        <v>22.9</v>
      </c>
      <c r="D7">
        <v>26</v>
      </c>
      <c r="E7">
        <v>74.099999999999994</v>
      </c>
      <c r="F7">
        <v>8.1</v>
      </c>
      <c r="G7">
        <v>45.2</v>
      </c>
      <c r="H7">
        <v>10.8</v>
      </c>
      <c r="I7">
        <v>9</v>
      </c>
      <c r="J7">
        <v>55.3</v>
      </c>
      <c r="K7">
        <v>9</v>
      </c>
      <c r="L7" s="2">
        <v>0.25673611111111111</v>
      </c>
      <c r="M7" s="2">
        <v>0.74497685185185181</v>
      </c>
      <c r="N7" t="s">
        <v>16</v>
      </c>
      <c r="O7" t="s">
        <v>51</v>
      </c>
      <c r="P7" t="s">
        <v>17</v>
      </c>
      <c r="Q7" t="s">
        <v>34</v>
      </c>
    </row>
    <row r="8" spans="1:17" x14ac:dyDescent="0.3">
      <c r="A8" s="1">
        <v>45970</v>
      </c>
      <c r="B8">
        <v>28.4</v>
      </c>
      <c r="C8">
        <v>23.9</v>
      </c>
      <c r="D8">
        <v>26</v>
      </c>
      <c r="E8">
        <v>78.599999999999994</v>
      </c>
      <c r="F8">
        <v>18.899999999999999</v>
      </c>
      <c r="G8">
        <v>64.5</v>
      </c>
      <c r="H8">
        <v>12.8</v>
      </c>
      <c r="I8">
        <v>8.5</v>
      </c>
      <c r="J8">
        <v>64.3</v>
      </c>
      <c r="K8">
        <v>8</v>
      </c>
      <c r="L8" s="2">
        <v>0.25694444444444442</v>
      </c>
      <c r="M8" s="2">
        <v>0.74488425925925927</v>
      </c>
      <c r="N8" t="s">
        <v>16</v>
      </c>
      <c r="O8" t="s">
        <v>30</v>
      </c>
      <c r="P8" t="s">
        <v>17</v>
      </c>
      <c r="Q8" t="s">
        <v>34</v>
      </c>
    </row>
    <row r="9" spans="1:17" x14ac:dyDescent="0.3">
      <c r="A9" s="1">
        <v>45971</v>
      </c>
      <c r="B9">
        <v>28.3</v>
      </c>
      <c r="C9">
        <v>23.1</v>
      </c>
      <c r="D9">
        <v>25.6</v>
      </c>
      <c r="E9">
        <v>73.8</v>
      </c>
      <c r="F9">
        <v>1.6</v>
      </c>
      <c r="G9">
        <v>77.400000000000006</v>
      </c>
      <c r="H9">
        <v>15.5</v>
      </c>
      <c r="I9">
        <v>9.4</v>
      </c>
      <c r="J9">
        <v>80.099999999999994</v>
      </c>
      <c r="K9">
        <v>7</v>
      </c>
      <c r="L9" s="2">
        <v>0.25715277777777779</v>
      </c>
      <c r="M9" s="2">
        <v>0.74480324074074078</v>
      </c>
      <c r="N9" t="s">
        <v>16</v>
      </c>
      <c r="O9" t="s">
        <v>47</v>
      </c>
      <c r="P9" t="s">
        <v>17</v>
      </c>
      <c r="Q9" t="s">
        <v>34</v>
      </c>
    </row>
    <row r="10" spans="1:17" x14ac:dyDescent="0.3">
      <c r="A10" s="1">
        <v>45972</v>
      </c>
      <c r="B10">
        <v>28.9</v>
      </c>
      <c r="C10">
        <v>23.8</v>
      </c>
      <c r="D10">
        <v>25.7</v>
      </c>
      <c r="E10">
        <v>75.599999999999994</v>
      </c>
      <c r="F10">
        <v>1.4</v>
      </c>
      <c r="G10">
        <v>61.3</v>
      </c>
      <c r="H10">
        <v>10.1</v>
      </c>
      <c r="I10">
        <v>8.6</v>
      </c>
      <c r="J10">
        <v>89</v>
      </c>
      <c r="K10">
        <v>7</v>
      </c>
      <c r="L10" s="2">
        <v>0.25737268518518519</v>
      </c>
      <c r="M10" s="2">
        <v>0.74473379629629632</v>
      </c>
      <c r="N10" t="s">
        <v>16</v>
      </c>
      <c r="O10" t="s">
        <v>47</v>
      </c>
      <c r="P10" t="s">
        <v>17</v>
      </c>
      <c r="Q10" t="s">
        <v>34</v>
      </c>
    </row>
    <row r="11" spans="1:17" x14ac:dyDescent="0.3">
      <c r="A11" s="1">
        <v>45973</v>
      </c>
      <c r="B11">
        <v>28.6</v>
      </c>
      <c r="C11">
        <v>23.2</v>
      </c>
      <c r="D11">
        <v>25.5</v>
      </c>
      <c r="E11">
        <v>75.5</v>
      </c>
      <c r="F11">
        <v>1.4</v>
      </c>
      <c r="G11">
        <v>58.1</v>
      </c>
      <c r="H11">
        <v>10.1</v>
      </c>
      <c r="I11">
        <v>7.2</v>
      </c>
      <c r="J11">
        <v>83.1</v>
      </c>
      <c r="K11">
        <v>6</v>
      </c>
      <c r="L11" s="2">
        <v>0.25760416666666669</v>
      </c>
      <c r="M11" s="2">
        <v>0.74467592592592591</v>
      </c>
      <c r="N11" t="s">
        <v>16</v>
      </c>
      <c r="O11" t="s">
        <v>53</v>
      </c>
      <c r="P11" t="s">
        <v>17</v>
      </c>
      <c r="Q11" t="s">
        <v>34</v>
      </c>
    </row>
    <row r="12" spans="1:17" x14ac:dyDescent="0.3">
      <c r="A12" s="1">
        <v>45974</v>
      </c>
      <c r="B12">
        <v>28.4</v>
      </c>
      <c r="C12">
        <v>23.1</v>
      </c>
      <c r="D12">
        <v>25</v>
      </c>
      <c r="E12">
        <v>71.400000000000006</v>
      </c>
      <c r="F12">
        <v>0.1</v>
      </c>
      <c r="G12">
        <v>32.299999999999997</v>
      </c>
      <c r="H12">
        <v>13</v>
      </c>
      <c r="I12">
        <v>13</v>
      </c>
      <c r="J12">
        <v>97.7</v>
      </c>
      <c r="K12">
        <v>7</v>
      </c>
      <c r="L12" s="2">
        <v>0.25783564814814813</v>
      </c>
      <c r="M12" s="2">
        <v>0.74462962962962964</v>
      </c>
      <c r="N12" t="s">
        <v>24</v>
      </c>
      <c r="O12" t="s">
        <v>25</v>
      </c>
      <c r="P12" t="s">
        <v>26</v>
      </c>
      <c r="Q12" t="s">
        <v>34</v>
      </c>
    </row>
    <row r="13" spans="1:17" x14ac:dyDescent="0.3">
      <c r="A13" s="1">
        <v>45975</v>
      </c>
      <c r="B13">
        <v>28</v>
      </c>
      <c r="C13">
        <v>21.9</v>
      </c>
      <c r="D13">
        <v>24.5</v>
      </c>
      <c r="E13">
        <v>70.3</v>
      </c>
      <c r="F13">
        <v>0</v>
      </c>
      <c r="G13">
        <v>12.9</v>
      </c>
      <c r="H13">
        <v>12.2</v>
      </c>
      <c r="I13">
        <v>9.6999999999999993</v>
      </c>
      <c r="J13">
        <v>99.7</v>
      </c>
      <c r="K13">
        <v>7</v>
      </c>
      <c r="L13" s="2">
        <v>0.25807870370370373</v>
      </c>
      <c r="M13" s="2">
        <v>0.74460648148148145</v>
      </c>
      <c r="N13" t="s">
        <v>24</v>
      </c>
      <c r="O13" t="s">
        <v>25</v>
      </c>
      <c r="P13" t="s">
        <v>26</v>
      </c>
      <c r="Q13" t="s">
        <v>34</v>
      </c>
    </row>
    <row r="14" spans="1:17" x14ac:dyDescent="0.3">
      <c r="A14" s="1">
        <v>45976</v>
      </c>
      <c r="B14">
        <v>28.7</v>
      </c>
      <c r="C14">
        <v>21.3</v>
      </c>
      <c r="D14">
        <v>24.6</v>
      </c>
      <c r="E14">
        <v>67.5</v>
      </c>
      <c r="F14">
        <v>0</v>
      </c>
      <c r="G14">
        <v>12.9</v>
      </c>
      <c r="H14">
        <v>15.6</v>
      </c>
      <c r="I14">
        <v>9.6999999999999993</v>
      </c>
      <c r="J14">
        <v>72.400000000000006</v>
      </c>
      <c r="K14">
        <v>7</v>
      </c>
      <c r="L14" s="2">
        <v>0.25833333333333336</v>
      </c>
      <c r="M14" s="2">
        <v>0.74458333333333337</v>
      </c>
      <c r="N14" t="s">
        <v>21</v>
      </c>
      <c r="O14" t="s">
        <v>54</v>
      </c>
      <c r="P14" t="s">
        <v>22</v>
      </c>
      <c r="Q14" t="s">
        <v>34</v>
      </c>
    </row>
    <row r="15" spans="1:17" x14ac:dyDescent="0.3">
      <c r="A15" s="1">
        <v>45977</v>
      </c>
      <c r="B15">
        <v>28.7</v>
      </c>
      <c r="C15">
        <v>22.1</v>
      </c>
      <c r="D15">
        <v>24.9</v>
      </c>
      <c r="E15">
        <v>66.900000000000006</v>
      </c>
      <c r="F15">
        <v>0.1</v>
      </c>
      <c r="G15">
        <v>9.6999999999999993</v>
      </c>
      <c r="H15">
        <v>15.8</v>
      </c>
      <c r="I15">
        <v>9.4</v>
      </c>
      <c r="J15">
        <v>78.900000000000006</v>
      </c>
      <c r="K15">
        <v>8</v>
      </c>
      <c r="L15" s="2">
        <v>0.25858796296296294</v>
      </c>
      <c r="M15" s="2">
        <v>0.74457175925925922</v>
      </c>
      <c r="N15" t="s">
        <v>21</v>
      </c>
      <c r="O15" t="s">
        <v>23</v>
      </c>
      <c r="P15" t="s">
        <v>22</v>
      </c>
      <c r="Q15" t="s">
        <v>34</v>
      </c>
    </row>
    <row r="16" spans="1:17" x14ac:dyDescent="0.3">
      <c r="A16" s="1">
        <v>45978</v>
      </c>
      <c r="B16">
        <v>29.1</v>
      </c>
      <c r="C16">
        <v>21.4</v>
      </c>
      <c r="D16">
        <v>24.9</v>
      </c>
      <c r="E16">
        <v>65.8</v>
      </c>
      <c r="F16">
        <v>0.1</v>
      </c>
      <c r="G16">
        <v>16.100000000000001</v>
      </c>
      <c r="H16">
        <v>14.2</v>
      </c>
      <c r="I16">
        <v>8.9</v>
      </c>
      <c r="J16">
        <v>45.7</v>
      </c>
      <c r="K16">
        <v>9</v>
      </c>
      <c r="L16" s="2">
        <v>0.25885416666666666</v>
      </c>
      <c r="M16" s="2">
        <v>0.74458333333333337</v>
      </c>
      <c r="N16" t="s">
        <v>21</v>
      </c>
      <c r="O16" t="s">
        <v>23</v>
      </c>
      <c r="P16" t="s">
        <v>22</v>
      </c>
      <c r="Q16" t="s">
        <v>34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7AB60-2CD7-4EB6-9A4C-D15C8E429B7B}">
  <sheetPr codeName="Sheet3"/>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1.109375" bestFit="1" customWidth="1"/>
    <col min="16" max="16" width="15.33203125" bestFit="1" customWidth="1"/>
    <col min="17" max="17" width="7.55468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31</v>
      </c>
    </row>
    <row r="2" spans="1:17" x14ac:dyDescent="0.3">
      <c r="A2" s="1">
        <v>45964</v>
      </c>
      <c r="B2">
        <v>35</v>
      </c>
      <c r="C2">
        <v>26</v>
      </c>
      <c r="D2">
        <v>29.7</v>
      </c>
      <c r="E2">
        <v>78.900000000000006</v>
      </c>
      <c r="F2">
        <v>5</v>
      </c>
      <c r="G2">
        <v>100</v>
      </c>
      <c r="H2">
        <v>16.600000000000001</v>
      </c>
      <c r="I2">
        <v>14.8</v>
      </c>
      <c r="J2">
        <v>58.1</v>
      </c>
      <c r="K2">
        <v>8</v>
      </c>
      <c r="L2" s="2">
        <v>0.2522800925925926</v>
      </c>
      <c r="M2" s="2">
        <v>0.73716435185185181</v>
      </c>
      <c r="N2" t="s">
        <v>16</v>
      </c>
      <c r="O2" t="s">
        <v>30</v>
      </c>
      <c r="P2" t="s">
        <v>17</v>
      </c>
      <c r="Q2" t="s">
        <v>33</v>
      </c>
    </row>
    <row r="3" spans="1:17" x14ac:dyDescent="0.3">
      <c r="A3" s="1">
        <v>45965</v>
      </c>
      <c r="B3">
        <v>31.7</v>
      </c>
      <c r="C3">
        <v>27.6</v>
      </c>
      <c r="D3">
        <v>29.2</v>
      </c>
      <c r="E3">
        <v>69.3</v>
      </c>
      <c r="F3">
        <v>10.4</v>
      </c>
      <c r="G3">
        <v>100</v>
      </c>
      <c r="H3">
        <v>20.2</v>
      </c>
      <c r="I3">
        <v>19.399999999999999</v>
      </c>
      <c r="J3">
        <v>65</v>
      </c>
      <c r="K3">
        <v>8</v>
      </c>
      <c r="L3" s="2">
        <v>0.2525</v>
      </c>
      <c r="M3" s="2">
        <v>0.73695601851851855</v>
      </c>
      <c r="N3" t="s">
        <v>16</v>
      </c>
      <c r="O3" t="s">
        <v>30</v>
      </c>
      <c r="P3" t="s">
        <v>17</v>
      </c>
      <c r="Q3" t="s">
        <v>33</v>
      </c>
    </row>
    <row r="4" spans="1:17" x14ac:dyDescent="0.3">
      <c r="A4" s="1">
        <v>45966</v>
      </c>
      <c r="B4">
        <v>30.3</v>
      </c>
      <c r="C4">
        <v>27</v>
      </c>
      <c r="D4">
        <v>28.5</v>
      </c>
      <c r="E4">
        <v>69.599999999999994</v>
      </c>
      <c r="F4">
        <v>1.1000000000000001</v>
      </c>
      <c r="G4">
        <v>74.2</v>
      </c>
      <c r="H4">
        <v>15.1</v>
      </c>
      <c r="I4">
        <v>14.8</v>
      </c>
      <c r="J4">
        <v>74.400000000000006</v>
      </c>
      <c r="K4">
        <v>8</v>
      </c>
      <c r="L4" s="2">
        <v>0.25271990740740741</v>
      </c>
      <c r="M4" s="2">
        <v>0.73677083333333337</v>
      </c>
      <c r="N4" t="s">
        <v>16</v>
      </c>
      <c r="O4" t="s">
        <v>53</v>
      </c>
      <c r="P4" t="s">
        <v>17</v>
      </c>
      <c r="Q4" t="s">
        <v>33</v>
      </c>
    </row>
    <row r="5" spans="1:17" x14ac:dyDescent="0.3">
      <c r="A5" s="1">
        <v>45967</v>
      </c>
      <c r="B5">
        <v>29.6</v>
      </c>
      <c r="C5">
        <v>27.2</v>
      </c>
      <c r="D5">
        <v>28.1</v>
      </c>
      <c r="E5">
        <v>71.5</v>
      </c>
      <c r="F5">
        <v>2.1</v>
      </c>
      <c r="G5">
        <v>77.400000000000006</v>
      </c>
      <c r="H5">
        <v>13.7</v>
      </c>
      <c r="I5">
        <v>14.4</v>
      </c>
      <c r="J5">
        <v>81.2</v>
      </c>
      <c r="K5">
        <v>7</v>
      </c>
      <c r="L5" s="2">
        <v>0.25295138888888891</v>
      </c>
      <c r="M5" s="2">
        <v>0.7365856481481482</v>
      </c>
      <c r="N5" t="s">
        <v>16</v>
      </c>
      <c r="O5" t="s">
        <v>55</v>
      </c>
      <c r="P5" t="s">
        <v>17</v>
      </c>
      <c r="Q5" t="s">
        <v>33</v>
      </c>
    </row>
    <row r="6" spans="1:17" x14ac:dyDescent="0.3">
      <c r="A6" s="1">
        <v>45968</v>
      </c>
      <c r="B6">
        <v>29.5</v>
      </c>
      <c r="C6">
        <v>25.3</v>
      </c>
      <c r="D6">
        <v>27.5</v>
      </c>
      <c r="E6">
        <v>72.400000000000006</v>
      </c>
      <c r="F6">
        <v>2.4</v>
      </c>
      <c r="G6">
        <v>54.8</v>
      </c>
      <c r="H6">
        <v>16.2</v>
      </c>
      <c r="I6">
        <v>16.600000000000001</v>
      </c>
      <c r="J6">
        <v>45.4</v>
      </c>
      <c r="K6">
        <v>8</v>
      </c>
      <c r="L6" s="2">
        <v>0.25319444444444444</v>
      </c>
      <c r="M6" s="2">
        <v>0.7364236111111111</v>
      </c>
      <c r="N6" t="s">
        <v>16</v>
      </c>
      <c r="O6" t="s">
        <v>46</v>
      </c>
      <c r="P6" t="s">
        <v>17</v>
      </c>
      <c r="Q6" t="s">
        <v>33</v>
      </c>
    </row>
    <row r="7" spans="1:17" x14ac:dyDescent="0.3">
      <c r="A7" s="1">
        <v>45969</v>
      </c>
      <c r="B7">
        <v>29.9</v>
      </c>
      <c r="C7">
        <v>25.8</v>
      </c>
      <c r="D7">
        <v>27.7</v>
      </c>
      <c r="E7">
        <v>68</v>
      </c>
      <c r="F7">
        <v>1.3</v>
      </c>
      <c r="G7">
        <v>38.700000000000003</v>
      </c>
      <c r="H7">
        <v>26.6</v>
      </c>
      <c r="I7">
        <v>26.3</v>
      </c>
      <c r="J7">
        <v>13.2</v>
      </c>
      <c r="K7">
        <v>9</v>
      </c>
      <c r="L7" s="2">
        <v>0.25344907407407408</v>
      </c>
      <c r="M7" s="2">
        <v>0.73626157407407411</v>
      </c>
      <c r="N7" t="s">
        <v>18</v>
      </c>
      <c r="O7" t="s">
        <v>19</v>
      </c>
      <c r="P7" t="s">
        <v>20</v>
      </c>
      <c r="Q7" t="s">
        <v>33</v>
      </c>
    </row>
    <row r="8" spans="1:17" x14ac:dyDescent="0.3">
      <c r="A8" s="1">
        <v>45970</v>
      </c>
      <c r="B8">
        <v>28.9</v>
      </c>
      <c r="C8">
        <v>23.6</v>
      </c>
      <c r="D8">
        <v>26.5</v>
      </c>
      <c r="E8">
        <v>62.8</v>
      </c>
      <c r="F8">
        <v>0</v>
      </c>
      <c r="G8">
        <v>29</v>
      </c>
      <c r="H8">
        <v>27.4</v>
      </c>
      <c r="I8">
        <v>23</v>
      </c>
      <c r="J8">
        <v>47.2</v>
      </c>
      <c r="K8">
        <v>8</v>
      </c>
      <c r="L8" s="2">
        <v>0.25370370370370371</v>
      </c>
      <c r="M8" s="2">
        <v>0.7361226851851852</v>
      </c>
      <c r="N8" t="s">
        <v>21</v>
      </c>
      <c r="O8" t="s">
        <v>23</v>
      </c>
      <c r="P8" t="s">
        <v>22</v>
      </c>
      <c r="Q8" t="s">
        <v>33</v>
      </c>
    </row>
    <row r="9" spans="1:17" x14ac:dyDescent="0.3">
      <c r="A9" s="1">
        <v>45971</v>
      </c>
      <c r="B9">
        <v>28.5</v>
      </c>
      <c r="C9">
        <v>23.4</v>
      </c>
      <c r="D9">
        <v>26.1</v>
      </c>
      <c r="E9">
        <v>64.3</v>
      </c>
      <c r="F9">
        <v>0</v>
      </c>
      <c r="G9">
        <v>16.100000000000001</v>
      </c>
      <c r="H9">
        <v>25.9</v>
      </c>
      <c r="I9">
        <v>22</v>
      </c>
      <c r="J9">
        <v>66.8</v>
      </c>
      <c r="K9">
        <v>8</v>
      </c>
      <c r="L9" s="2">
        <v>0.25395833333333334</v>
      </c>
      <c r="M9" s="2">
        <v>0.73599537037037033</v>
      </c>
      <c r="N9" t="s">
        <v>21</v>
      </c>
      <c r="O9" t="s">
        <v>23</v>
      </c>
      <c r="P9" t="s">
        <v>22</v>
      </c>
      <c r="Q9" t="s">
        <v>33</v>
      </c>
    </row>
    <row r="10" spans="1:17" x14ac:dyDescent="0.3">
      <c r="A10" s="1">
        <v>45972</v>
      </c>
      <c r="B10">
        <v>28.8</v>
      </c>
      <c r="C10">
        <v>23.2</v>
      </c>
      <c r="D10">
        <v>26</v>
      </c>
      <c r="E10">
        <v>60.5</v>
      </c>
      <c r="F10">
        <v>0</v>
      </c>
      <c r="G10">
        <v>6.5</v>
      </c>
      <c r="H10">
        <v>24.5</v>
      </c>
      <c r="I10">
        <v>20.5</v>
      </c>
      <c r="J10">
        <v>32.200000000000003</v>
      </c>
      <c r="K10">
        <v>8</v>
      </c>
      <c r="L10" s="2">
        <v>0.25422453703703701</v>
      </c>
      <c r="M10" s="2">
        <v>0.73587962962962961</v>
      </c>
      <c r="N10" t="s">
        <v>21</v>
      </c>
      <c r="O10" t="s">
        <v>23</v>
      </c>
      <c r="P10" t="s">
        <v>22</v>
      </c>
      <c r="Q10" t="s">
        <v>33</v>
      </c>
    </row>
    <row r="11" spans="1:17" x14ac:dyDescent="0.3">
      <c r="A11" s="1">
        <v>45973</v>
      </c>
      <c r="B11">
        <v>28.4</v>
      </c>
      <c r="C11">
        <v>23.1</v>
      </c>
      <c r="D11">
        <v>25.9</v>
      </c>
      <c r="E11">
        <v>60.1</v>
      </c>
      <c r="F11">
        <v>0</v>
      </c>
      <c r="G11">
        <v>0</v>
      </c>
      <c r="H11">
        <v>25</v>
      </c>
      <c r="I11">
        <v>22</v>
      </c>
      <c r="J11">
        <v>26</v>
      </c>
      <c r="K11">
        <v>8</v>
      </c>
      <c r="L11" s="2">
        <v>0.25450231481481483</v>
      </c>
      <c r="M11" s="2">
        <v>0.73577546296296292</v>
      </c>
      <c r="N11" t="s">
        <v>21</v>
      </c>
      <c r="O11" t="s">
        <v>23</v>
      </c>
      <c r="P11" t="s">
        <v>22</v>
      </c>
      <c r="Q11" t="s">
        <v>33</v>
      </c>
    </row>
    <row r="12" spans="1:17" x14ac:dyDescent="0.3">
      <c r="A12" s="1">
        <v>45974</v>
      </c>
      <c r="B12">
        <v>28.2</v>
      </c>
      <c r="C12">
        <v>23.4</v>
      </c>
      <c r="D12">
        <v>25.9</v>
      </c>
      <c r="E12">
        <v>62</v>
      </c>
      <c r="F12">
        <v>0</v>
      </c>
      <c r="G12">
        <v>9.6999999999999993</v>
      </c>
      <c r="H12">
        <v>25.2</v>
      </c>
      <c r="I12">
        <v>22</v>
      </c>
      <c r="J12">
        <v>91.1</v>
      </c>
      <c r="K12">
        <v>8</v>
      </c>
      <c r="L12" s="2">
        <v>0.25479166666666669</v>
      </c>
      <c r="M12" s="2">
        <v>0.73568287037037039</v>
      </c>
      <c r="N12" t="s">
        <v>24</v>
      </c>
      <c r="O12" t="s">
        <v>25</v>
      </c>
      <c r="P12" t="s">
        <v>26</v>
      </c>
      <c r="Q12" t="s">
        <v>33</v>
      </c>
    </row>
    <row r="13" spans="1:17" x14ac:dyDescent="0.3">
      <c r="A13" s="1">
        <v>45975</v>
      </c>
      <c r="B13">
        <v>27.9</v>
      </c>
      <c r="C13">
        <v>22.8</v>
      </c>
      <c r="D13">
        <v>25.5</v>
      </c>
      <c r="E13">
        <v>64.3</v>
      </c>
      <c r="F13">
        <v>0</v>
      </c>
      <c r="G13">
        <v>6.5</v>
      </c>
      <c r="H13">
        <v>22</v>
      </c>
      <c r="I13">
        <v>19.8</v>
      </c>
      <c r="J13">
        <v>98.5</v>
      </c>
      <c r="K13">
        <v>7</v>
      </c>
      <c r="L13" s="2">
        <v>0.2550810185185185</v>
      </c>
      <c r="M13" s="2">
        <v>0.7356018518518519</v>
      </c>
      <c r="N13" t="s">
        <v>24</v>
      </c>
      <c r="O13" t="s">
        <v>25</v>
      </c>
      <c r="P13" t="s">
        <v>26</v>
      </c>
      <c r="Q13" t="s">
        <v>33</v>
      </c>
    </row>
    <row r="14" spans="1:17" x14ac:dyDescent="0.3">
      <c r="A14" s="1">
        <v>45976</v>
      </c>
      <c r="B14">
        <v>27.8</v>
      </c>
      <c r="C14">
        <v>22.6</v>
      </c>
      <c r="D14">
        <v>25.4</v>
      </c>
      <c r="E14">
        <v>63</v>
      </c>
      <c r="F14">
        <v>0.1</v>
      </c>
      <c r="G14">
        <v>16.100000000000001</v>
      </c>
      <c r="H14">
        <v>19.8</v>
      </c>
      <c r="I14">
        <v>18.399999999999999</v>
      </c>
      <c r="J14">
        <v>96.3</v>
      </c>
      <c r="K14">
        <v>8</v>
      </c>
      <c r="L14" s="2">
        <v>0.25537037037037036</v>
      </c>
      <c r="M14" s="2">
        <v>0.73554398148148148</v>
      </c>
      <c r="N14" t="s">
        <v>24</v>
      </c>
      <c r="O14" t="s">
        <v>25</v>
      </c>
      <c r="P14" t="s">
        <v>26</v>
      </c>
      <c r="Q14" t="s">
        <v>33</v>
      </c>
    </row>
    <row r="15" spans="1:17" x14ac:dyDescent="0.3">
      <c r="A15" s="1">
        <v>45977</v>
      </c>
      <c r="B15">
        <v>28.2</v>
      </c>
      <c r="C15">
        <v>22.3</v>
      </c>
      <c r="D15">
        <v>25.4</v>
      </c>
      <c r="E15">
        <v>56.8</v>
      </c>
      <c r="F15">
        <v>0</v>
      </c>
      <c r="G15">
        <v>16.100000000000001</v>
      </c>
      <c r="H15">
        <v>22.3</v>
      </c>
      <c r="I15">
        <v>19.100000000000001</v>
      </c>
      <c r="J15">
        <v>13.4</v>
      </c>
      <c r="K15">
        <v>8</v>
      </c>
      <c r="L15" s="2">
        <v>0.25568287037037035</v>
      </c>
      <c r="M15" s="2">
        <v>0.73548611111111106</v>
      </c>
      <c r="N15" t="s">
        <v>18</v>
      </c>
      <c r="O15" t="s">
        <v>19</v>
      </c>
      <c r="P15" t="s">
        <v>20</v>
      </c>
      <c r="Q15" t="s">
        <v>33</v>
      </c>
    </row>
    <row r="16" spans="1:17" x14ac:dyDescent="0.3">
      <c r="A16" s="1">
        <v>45978</v>
      </c>
      <c r="B16">
        <v>27.3</v>
      </c>
      <c r="C16">
        <v>21.7</v>
      </c>
      <c r="D16">
        <v>25</v>
      </c>
      <c r="E16">
        <v>59.3</v>
      </c>
      <c r="F16">
        <v>0</v>
      </c>
      <c r="G16">
        <v>16.100000000000001</v>
      </c>
      <c r="H16">
        <v>22</v>
      </c>
      <c r="I16">
        <v>20.5</v>
      </c>
      <c r="J16">
        <v>26.1</v>
      </c>
      <c r="K16">
        <v>8</v>
      </c>
      <c r="L16" s="2">
        <v>0.25598379629629631</v>
      </c>
      <c r="M16" s="2">
        <v>0.73545138888888884</v>
      </c>
      <c r="N16" t="s">
        <v>21</v>
      </c>
      <c r="O16" t="s">
        <v>23</v>
      </c>
      <c r="P16" t="s">
        <v>22</v>
      </c>
      <c r="Q16" t="s">
        <v>33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FC344-901F-4428-9982-B8A40593D6F5}">
  <sheetPr codeName="Sheet4"/>
  <dimension ref="A1:Q16"/>
  <sheetViews>
    <sheetView workbookViewId="0"/>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2.88671875" bestFit="1" customWidth="1"/>
    <col min="16" max="16" width="15.33203125" bestFit="1" customWidth="1"/>
    <col min="17" max="17" width="10.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31</v>
      </c>
    </row>
    <row r="2" spans="1:17" x14ac:dyDescent="0.3">
      <c r="A2" s="1">
        <v>45964</v>
      </c>
      <c r="B2">
        <v>33</v>
      </c>
      <c r="C2">
        <v>22</v>
      </c>
      <c r="D2">
        <v>26.1</v>
      </c>
      <c r="E2">
        <v>77.8</v>
      </c>
      <c r="F2">
        <v>1.2</v>
      </c>
      <c r="G2">
        <v>100</v>
      </c>
      <c r="H2">
        <v>27.4</v>
      </c>
      <c r="I2">
        <v>18.399999999999999</v>
      </c>
      <c r="J2">
        <v>47.7</v>
      </c>
      <c r="K2">
        <v>9</v>
      </c>
      <c r="L2" s="2">
        <v>0.25987268518518519</v>
      </c>
      <c r="M2" s="2">
        <v>0.74798611111111113</v>
      </c>
      <c r="N2" t="s">
        <v>16</v>
      </c>
      <c r="O2" t="s">
        <v>30</v>
      </c>
      <c r="P2" t="s">
        <v>17</v>
      </c>
      <c r="Q2" t="s">
        <v>32</v>
      </c>
    </row>
    <row r="3" spans="1:17" x14ac:dyDescent="0.3">
      <c r="A3" s="1">
        <v>45965</v>
      </c>
      <c r="B3">
        <v>28.3</v>
      </c>
      <c r="C3">
        <v>21.2</v>
      </c>
      <c r="D3">
        <v>24</v>
      </c>
      <c r="E3">
        <v>84.5</v>
      </c>
      <c r="F3">
        <v>2.6</v>
      </c>
      <c r="G3">
        <v>96.8</v>
      </c>
      <c r="H3">
        <v>24.8</v>
      </c>
      <c r="I3">
        <v>14.8</v>
      </c>
      <c r="J3">
        <v>90.2</v>
      </c>
      <c r="K3">
        <v>8</v>
      </c>
      <c r="L3" s="2">
        <v>0.26004629629629628</v>
      </c>
      <c r="M3" s="2">
        <v>0.74782407407407403</v>
      </c>
      <c r="N3" t="s">
        <v>27</v>
      </c>
      <c r="O3" t="s">
        <v>29</v>
      </c>
      <c r="P3" t="s">
        <v>17</v>
      </c>
      <c r="Q3" t="s">
        <v>32</v>
      </c>
    </row>
    <row r="4" spans="1:17" x14ac:dyDescent="0.3">
      <c r="A4" s="1">
        <v>45966</v>
      </c>
      <c r="B4">
        <v>29.4</v>
      </c>
      <c r="C4">
        <v>21.5</v>
      </c>
      <c r="D4">
        <v>24.4</v>
      </c>
      <c r="E4">
        <v>82.6</v>
      </c>
      <c r="F4">
        <v>6.1</v>
      </c>
      <c r="G4">
        <v>96.8</v>
      </c>
      <c r="H4">
        <v>28.1</v>
      </c>
      <c r="I4">
        <v>18</v>
      </c>
      <c r="J4">
        <v>55.8</v>
      </c>
      <c r="K4">
        <v>9</v>
      </c>
      <c r="L4" s="2">
        <v>0.26024305555555555</v>
      </c>
      <c r="M4" s="2">
        <v>0.74766203703703704</v>
      </c>
      <c r="N4" t="s">
        <v>16</v>
      </c>
      <c r="O4" t="s">
        <v>30</v>
      </c>
      <c r="P4" t="s">
        <v>17</v>
      </c>
      <c r="Q4" t="s">
        <v>32</v>
      </c>
    </row>
    <row r="5" spans="1:17" x14ac:dyDescent="0.3">
      <c r="A5" s="1">
        <v>45967</v>
      </c>
      <c r="B5">
        <v>26.5</v>
      </c>
      <c r="C5">
        <v>21</v>
      </c>
      <c r="D5">
        <v>22.8</v>
      </c>
      <c r="E5">
        <v>86.1</v>
      </c>
      <c r="F5">
        <v>2</v>
      </c>
      <c r="G5">
        <v>48.4</v>
      </c>
      <c r="H5">
        <v>28.4</v>
      </c>
      <c r="I5">
        <v>16.600000000000001</v>
      </c>
      <c r="J5">
        <v>94.1</v>
      </c>
      <c r="K5">
        <v>5</v>
      </c>
      <c r="L5" s="2">
        <v>0.26043981481481482</v>
      </c>
      <c r="M5" s="2">
        <v>0.74752314814814813</v>
      </c>
      <c r="N5" t="s">
        <v>27</v>
      </c>
      <c r="O5" t="s">
        <v>50</v>
      </c>
      <c r="P5" t="s">
        <v>17</v>
      </c>
      <c r="Q5" t="s">
        <v>32</v>
      </c>
    </row>
    <row r="6" spans="1:17" x14ac:dyDescent="0.3">
      <c r="A6" s="1">
        <v>45968</v>
      </c>
      <c r="B6">
        <v>27.8</v>
      </c>
      <c r="C6">
        <v>20.399999999999999</v>
      </c>
      <c r="D6">
        <v>22.8</v>
      </c>
      <c r="E6">
        <v>83.2</v>
      </c>
      <c r="F6">
        <v>8.9</v>
      </c>
      <c r="G6">
        <v>12.9</v>
      </c>
      <c r="H6">
        <v>22.3</v>
      </c>
      <c r="I6">
        <v>13.3</v>
      </c>
      <c r="J6">
        <v>66.5</v>
      </c>
      <c r="K6">
        <v>8</v>
      </c>
      <c r="L6" s="2">
        <v>0.26064814814814813</v>
      </c>
      <c r="M6" s="2">
        <v>0.74738425925925922</v>
      </c>
      <c r="N6" t="s">
        <v>21</v>
      </c>
      <c r="O6" t="s">
        <v>23</v>
      </c>
      <c r="P6" t="s">
        <v>22</v>
      </c>
      <c r="Q6" t="s">
        <v>32</v>
      </c>
    </row>
    <row r="7" spans="1:17" x14ac:dyDescent="0.3">
      <c r="A7" s="1">
        <v>45969</v>
      </c>
      <c r="B7">
        <v>28.5</v>
      </c>
      <c r="C7">
        <v>20.7</v>
      </c>
      <c r="D7">
        <v>23.8</v>
      </c>
      <c r="E7">
        <v>80.2</v>
      </c>
      <c r="F7">
        <v>16.899999999999999</v>
      </c>
      <c r="G7">
        <v>48.4</v>
      </c>
      <c r="H7">
        <v>19.100000000000001</v>
      </c>
      <c r="I7">
        <v>10.8</v>
      </c>
      <c r="J7">
        <v>77.599999999999994</v>
      </c>
      <c r="K7">
        <v>9</v>
      </c>
      <c r="L7" s="2">
        <v>0.26085648148148149</v>
      </c>
      <c r="M7" s="2">
        <v>0.7472685185185185</v>
      </c>
      <c r="N7" t="s">
        <v>16</v>
      </c>
      <c r="O7" t="s">
        <v>28</v>
      </c>
      <c r="P7" t="s">
        <v>17</v>
      </c>
      <c r="Q7" t="s">
        <v>32</v>
      </c>
    </row>
    <row r="8" spans="1:17" x14ac:dyDescent="0.3">
      <c r="A8" s="1">
        <v>45970</v>
      </c>
      <c r="B8">
        <v>28.4</v>
      </c>
      <c r="C8">
        <v>22.4</v>
      </c>
      <c r="D8">
        <v>24.7</v>
      </c>
      <c r="E8">
        <v>80</v>
      </c>
      <c r="F8">
        <v>8.6</v>
      </c>
      <c r="G8">
        <v>67.7</v>
      </c>
      <c r="H8">
        <v>14.4</v>
      </c>
      <c r="I8">
        <v>12.6</v>
      </c>
      <c r="J8">
        <v>57.2</v>
      </c>
      <c r="K8">
        <v>7</v>
      </c>
      <c r="L8" s="2">
        <v>0.26108796296296294</v>
      </c>
      <c r="M8" s="2">
        <v>0.74715277777777778</v>
      </c>
      <c r="N8" t="s">
        <v>16</v>
      </c>
      <c r="O8" t="s">
        <v>47</v>
      </c>
      <c r="P8" t="s">
        <v>17</v>
      </c>
      <c r="Q8" t="s">
        <v>32</v>
      </c>
    </row>
    <row r="9" spans="1:17" x14ac:dyDescent="0.3">
      <c r="A9" s="1">
        <v>45971</v>
      </c>
      <c r="B9">
        <v>27.1</v>
      </c>
      <c r="C9">
        <v>20.9</v>
      </c>
      <c r="D9">
        <v>23.8</v>
      </c>
      <c r="E9">
        <v>73.7</v>
      </c>
      <c r="F9">
        <v>0.4</v>
      </c>
      <c r="G9">
        <v>71</v>
      </c>
      <c r="H9">
        <v>14.8</v>
      </c>
      <c r="I9">
        <v>10.8</v>
      </c>
      <c r="J9">
        <v>81.400000000000006</v>
      </c>
      <c r="K9">
        <v>8</v>
      </c>
      <c r="L9" s="2">
        <v>0.26130787037037034</v>
      </c>
      <c r="M9" s="2">
        <v>0.74706018518518513</v>
      </c>
      <c r="N9" t="s">
        <v>16</v>
      </c>
      <c r="O9" t="s">
        <v>46</v>
      </c>
      <c r="P9" t="s">
        <v>17</v>
      </c>
      <c r="Q9" t="s">
        <v>32</v>
      </c>
    </row>
    <row r="10" spans="1:17" x14ac:dyDescent="0.3">
      <c r="A10" s="1">
        <v>45972</v>
      </c>
      <c r="B10">
        <v>27.3</v>
      </c>
      <c r="C10">
        <v>20.399999999999999</v>
      </c>
      <c r="D10">
        <v>23.6</v>
      </c>
      <c r="E10">
        <v>75</v>
      </c>
      <c r="F10">
        <v>0.3</v>
      </c>
      <c r="G10">
        <v>71</v>
      </c>
      <c r="H10">
        <v>11.9</v>
      </c>
      <c r="I10">
        <v>10.8</v>
      </c>
      <c r="J10">
        <v>73.099999999999994</v>
      </c>
      <c r="K10">
        <v>9</v>
      </c>
      <c r="L10" s="2">
        <v>0.26155092592592594</v>
      </c>
      <c r="M10" s="2">
        <v>0.74697916666666664</v>
      </c>
      <c r="N10" t="s">
        <v>16</v>
      </c>
      <c r="O10" t="s">
        <v>28</v>
      </c>
      <c r="P10" t="s">
        <v>17</v>
      </c>
      <c r="Q10" t="s">
        <v>32</v>
      </c>
    </row>
    <row r="11" spans="1:17" x14ac:dyDescent="0.3">
      <c r="A11" s="1">
        <v>45973</v>
      </c>
      <c r="B11">
        <v>27.8</v>
      </c>
      <c r="C11">
        <v>20.2</v>
      </c>
      <c r="D11">
        <v>23.6</v>
      </c>
      <c r="E11">
        <v>77.2</v>
      </c>
      <c r="F11">
        <v>0.1</v>
      </c>
      <c r="G11">
        <v>45.2</v>
      </c>
      <c r="H11">
        <v>12.2</v>
      </c>
      <c r="I11">
        <v>10.1</v>
      </c>
      <c r="J11">
        <v>55.8</v>
      </c>
      <c r="K11">
        <v>8</v>
      </c>
      <c r="L11" s="2">
        <v>0.26179398148148147</v>
      </c>
      <c r="M11" s="2">
        <v>0.74689814814814814</v>
      </c>
      <c r="N11" t="s">
        <v>16</v>
      </c>
      <c r="O11" t="s">
        <v>28</v>
      </c>
      <c r="P11" t="s">
        <v>17</v>
      </c>
      <c r="Q11" t="s">
        <v>32</v>
      </c>
    </row>
    <row r="12" spans="1:17" x14ac:dyDescent="0.3">
      <c r="A12" s="1">
        <v>45974</v>
      </c>
      <c r="B12">
        <v>27.6</v>
      </c>
      <c r="C12">
        <v>20.399999999999999</v>
      </c>
      <c r="D12">
        <v>23.3</v>
      </c>
      <c r="E12">
        <v>79.599999999999994</v>
      </c>
      <c r="F12">
        <v>0.1</v>
      </c>
      <c r="G12">
        <v>38.700000000000003</v>
      </c>
      <c r="H12">
        <v>18.399999999999999</v>
      </c>
      <c r="I12">
        <v>11.9</v>
      </c>
      <c r="J12">
        <v>89.4</v>
      </c>
      <c r="K12">
        <v>8</v>
      </c>
      <c r="L12" s="2">
        <v>0.26204861111111111</v>
      </c>
      <c r="M12" s="2">
        <v>0.74684027777777773</v>
      </c>
      <c r="N12" t="s">
        <v>21</v>
      </c>
      <c r="O12" t="s">
        <v>23</v>
      </c>
      <c r="P12" t="s">
        <v>22</v>
      </c>
      <c r="Q12" t="s">
        <v>32</v>
      </c>
    </row>
    <row r="13" spans="1:17" x14ac:dyDescent="0.3">
      <c r="A13" s="1">
        <v>45975</v>
      </c>
      <c r="B13">
        <v>27.1</v>
      </c>
      <c r="C13">
        <v>20.100000000000001</v>
      </c>
      <c r="D13">
        <v>23.3</v>
      </c>
      <c r="E13">
        <v>78.900000000000006</v>
      </c>
      <c r="F13">
        <v>0.2</v>
      </c>
      <c r="G13">
        <v>19.399999999999999</v>
      </c>
      <c r="H13">
        <v>10.8</v>
      </c>
      <c r="I13">
        <v>10.4</v>
      </c>
      <c r="J13">
        <v>98.1</v>
      </c>
      <c r="K13">
        <v>7</v>
      </c>
      <c r="L13" s="2">
        <v>0.26230324074074074</v>
      </c>
      <c r="M13" s="2">
        <v>0.74679398148148146</v>
      </c>
      <c r="N13" t="s">
        <v>24</v>
      </c>
      <c r="O13" t="s">
        <v>25</v>
      </c>
      <c r="P13" t="s">
        <v>26</v>
      </c>
      <c r="Q13" t="s">
        <v>32</v>
      </c>
    </row>
    <row r="14" spans="1:17" x14ac:dyDescent="0.3">
      <c r="A14" s="1">
        <v>45976</v>
      </c>
      <c r="B14">
        <v>27.2</v>
      </c>
      <c r="C14">
        <v>20.2</v>
      </c>
      <c r="D14">
        <v>23.4</v>
      </c>
      <c r="E14">
        <v>74.3</v>
      </c>
      <c r="F14">
        <v>0.3</v>
      </c>
      <c r="G14">
        <v>9.6999999999999993</v>
      </c>
      <c r="H14">
        <v>15.1</v>
      </c>
      <c r="I14">
        <v>9.4</v>
      </c>
      <c r="J14">
        <v>78.400000000000006</v>
      </c>
      <c r="K14">
        <v>9</v>
      </c>
      <c r="L14" s="2">
        <v>0.26256944444444447</v>
      </c>
      <c r="M14" s="2">
        <v>0.74675925925925923</v>
      </c>
      <c r="N14" t="s">
        <v>21</v>
      </c>
      <c r="O14" t="s">
        <v>23</v>
      </c>
      <c r="P14" t="s">
        <v>22</v>
      </c>
      <c r="Q14" t="s">
        <v>32</v>
      </c>
    </row>
    <row r="15" spans="1:17" x14ac:dyDescent="0.3">
      <c r="A15" s="1">
        <v>45977</v>
      </c>
      <c r="B15">
        <v>27.2</v>
      </c>
      <c r="C15">
        <v>19.5</v>
      </c>
      <c r="D15">
        <v>23.1</v>
      </c>
      <c r="E15">
        <v>74</v>
      </c>
      <c r="F15">
        <v>0.1</v>
      </c>
      <c r="G15">
        <v>16.100000000000001</v>
      </c>
      <c r="H15">
        <v>13.3</v>
      </c>
      <c r="I15">
        <v>9.6999999999999993</v>
      </c>
      <c r="J15">
        <v>72.599999999999994</v>
      </c>
      <c r="K15">
        <v>9</v>
      </c>
      <c r="L15" s="2">
        <v>0.26284722222222223</v>
      </c>
      <c r="M15" s="2">
        <v>0.74673611111111116</v>
      </c>
      <c r="N15" t="s">
        <v>21</v>
      </c>
      <c r="O15" t="s">
        <v>23</v>
      </c>
      <c r="P15" t="s">
        <v>22</v>
      </c>
      <c r="Q15" t="s">
        <v>32</v>
      </c>
    </row>
    <row r="16" spans="1:17" x14ac:dyDescent="0.3">
      <c r="A16" s="1">
        <v>45978</v>
      </c>
      <c r="B16">
        <v>27.4</v>
      </c>
      <c r="C16">
        <v>20.3</v>
      </c>
      <c r="D16">
        <v>23.6</v>
      </c>
      <c r="E16">
        <v>70.3</v>
      </c>
      <c r="F16">
        <v>0</v>
      </c>
      <c r="G16">
        <v>19.399999999999999</v>
      </c>
      <c r="H16">
        <v>15.5</v>
      </c>
      <c r="I16">
        <v>9.6999999999999993</v>
      </c>
      <c r="J16">
        <v>50.7</v>
      </c>
      <c r="K16">
        <v>9</v>
      </c>
      <c r="L16" s="2">
        <v>0.263125</v>
      </c>
      <c r="M16" s="2">
        <v>0.74673611111111116</v>
      </c>
      <c r="N16" t="s">
        <v>21</v>
      </c>
      <c r="O16" t="s">
        <v>23</v>
      </c>
      <c r="P16" t="s">
        <v>22</v>
      </c>
      <c r="Q16" t="s">
        <v>32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B163D-5C27-4B70-A526-42FB5543D01A}">
  <sheetPr codeName="Sheet5"/>
  <dimension ref="A1:Q61"/>
  <sheetViews>
    <sheetView tabSelected="1" workbookViewId="0">
      <selection activeCell="B7" sqref="B7"/>
    </sheetView>
  </sheetViews>
  <sheetFormatPr defaultRowHeight="14.4" x14ac:dyDescent="0.3"/>
  <cols>
    <col min="1" max="1" width="10.33203125" bestFit="1" customWidth="1"/>
    <col min="2" max="2" width="12.109375" bestFit="1" customWidth="1"/>
    <col min="3" max="3" width="11.77734375" bestFit="1" customWidth="1"/>
    <col min="4" max="4" width="8" bestFit="1" customWidth="1"/>
    <col min="5" max="5" width="10.88671875" bestFit="1" customWidth="1"/>
    <col min="6" max="6" width="8.44140625" bestFit="1" customWidth="1"/>
    <col min="7" max="7" width="12.88671875" bestFit="1" customWidth="1"/>
    <col min="8" max="8" width="11.88671875" bestFit="1" customWidth="1"/>
    <col min="9" max="9" width="13.33203125" bestFit="1" customWidth="1"/>
    <col min="10" max="10" width="13.44140625" bestFit="1" customWidth="1"/>
    <col min="11" max="11" width="10.88671875" bestFit="1" customWidth="1"/>
    <col min="12" max="12" width="9.33203125" bestFit="1" customWidth="1"/>
    <col min="14" max="14" width="18" bestFit="1" customWidth="1"/>
    <col min="15" max="15" width="62.88671875" bestFit="1" customWidth="1"/>
    <col min="16" max="16" width="15.33203125" bestFit="1" customWidth="1"/>
    <col min="17" max="17" width="10.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31</v>
      </c>
    </row>
    <row r="2" spans="1:17" x14ac:dyDescent="0.3">
      <c r="A2" s="1">
        <v>45964</v>
      </c>
      <c r="B2">
        <v>35</v>
      </c>
      <c r="C2">
        <v>26</v>
      </c>
      <c r="D2">
        <v>29.7</v>
      </c>
      <c r="E2">
        <v>78.900000000000006</v>
      </c>
      <c r="F2">
        <v>5</v>
      </c>
      <c r="G2">
        <v>100</v>
      </c>
      <c r="H2">
        <v>16.600000000000001</v>
      </c>
      <c r="I2">
        <v>14.8</v>
      </c>
      <c r="J2">
        <v>58.1</v>
      </c>
      <c r="K2">
        <v>8</v>
      </c>
      <c r="L2" s="2">
        <v>0.2522800925925926</v>
      </c>
      <c r="M2" s="2">
        <v>0.73716435185185181</v>
      </c>
      <c r="N2" t="s">
        <v>16</v>
      </c>
      <c r="O2" t="s">
        <v>30</v>
      </c>
      <c r="P2" t="s">
        <v>17</v>
      </c>
      <c r="Q2" t="s">
        <v>33</v>
      </c>
    </row>
    <row r="3" spans="1:17" x14ac:dyDescent="0.3">
      <c r="A3" s="1">
        <v>45965</v>
      </c>
      <c r="B3">
        <v>31.7</v>
      </c>
      <c r="C3">
        <v>27.6</v>
      </c>
      <c r="D3">
        <v>29.2</v>
      </c>
      <c r="E3">
        <v>69.3</v>
      </c>
      <c r="F3">
        <v>10.4</v>
      </c>
      <c r="G3">
        <v>100</v>
      </c>
      <c r="H3">
        <v>20.2</v>
      </c>
      <c r="I3">
        <v>19.399999999999999</v>
      </c>
      <c r="J3">
        <v>65</v>
      </c>
      <c r="K3">
        <v>8</v>
      </c>
      <c r="L3" s="2">
        <v>0.2525</v>
      </c>
      <c r="M3" s="2">
        <v>0.73695601851851855</v>
      </c>
      <c r="N3" t="s">
        <v>16</v>
      </c>
      <c r="O3" t="s">
        <v>30</v>
      </c>
      <c r="P3" t="s">
        <v>17</v>
      </c>
      <c r="Q3" t="s">
        <v>33</v>
      </c>
    </row>
    <row r="4" spans="1:17" x14ac:dyDescent="0.3">
      <c r="A4" s="1">
        <v>45966</v>
      </c>
      <c r="B4">
        <v>30.3</v>
      </c>
      <c r="C4">
        <v>27</v>
      </c>
      <c r="D4">
        <v>28.5</v>
      </c>
      <c r="E4">
        <v>69.599999999999994</v>
      </c>
      <c r="F4">
        <v>1.1000000000000001</v>
      </c>
      <c r="G4">
        <v>74.2</v>
      </c>
      <c r="H4">
        <v>15.1</v>
      </c>
      <c r="I4">
        <v>14.8</v>
      </c>
      <c r="J4">
        <v>74.400000000000006</v>
      </c>
      <c r="K4">
        <v>8</v>
      </c>
      <c r="L4" s="2">
        <v>0.25271990740740741</v>
      </c>
      <c r="M4" s="2">
        <v>0.73677083333333337</v>
      </c>
      <c r="N4" t="s">
        <v>16</v>
      </c>
      <c r="O4" t="s">
        <v>53</v>
      </c>
      <c r="P4" t="s">
        <v>17</v>
      </c>
      <c r="Q4" t="s">
        <v>33</v>
      </c>
    </row>
    <row r="5" spans="1:17" x14ac:dyDescent="0.3">
      <c r="A5" s="1">
        <v>45967</v>
      </c>
      <c r="B5">
        <v>29.6</v>
      </c>
      <c r="C5">
        <v>27.2</v>
      </c>
      <c r="D5">
        <v>28.1</v>
      </c>
      <c r="E5">
        <v>71.5</v>
      </c>
      <c r="F5">
        <v>2.1</v>
      </c>
      <c r="G5">
        <v>77.400000000000006</v>
      </c>
      <c r="H5">
        <v>13.7</v>
      </c>
      <c r="I5">
        <v>14.4</v>
      </c>
      <c r="J5">
        <v>81.2</v>
      </c>
      <c r="K5">
        <v>7</v>
      </c>
      <c r="L5" s="2">
        <v>0.25295138888888891</v>
      </c>
      <c r="M5" s="2">
        <v>0.7365856481481482</v>
      </c>
      <c r="N5" t="s">
        <v>16</v>
      </c>
      <c r="O5" t="s">
        <v>55</v>
      </c>
      <c r="P5" t="s">
        <v>17</v>
      </c>
      <c r="Q5" t="s">
        <v>33</v>
      </c>
    </row>
    <row r="6" spans="1:17" x14ac:dyDescent="0.3">
      <c r="A6" s="1">
        <v>45968</v>
      </c>
      <c r="B6">
        <v>29.5</v>
      </c>
      <c r="C6">
        <v>25.3</v>
      </c>
      <c r="D6">
        <v>27.5</v>
      </c>
      <c r="E6">
        <v>72.400000000000006</v>
      </c>
      <c r="F6">
        <v>2.4</v>
      </c>
      <c r="G6">
        <v>54.8</v>
      </c>
      <c r="H6">
        <v>16.2</v>
      </c>
      <c r="I6">
        <v>16.600000000000001</v>
      </c>
      <c r="J6">
        <v>45.4</v>
      </c>
      <c r="K6">
        <v>8</v>
      </c>
      <c r="L6" s="2">
        <v>0.25319444444444444</v>
      </c>
      <c r="M6" s="2">
        <v>0.7364236111111111</v>
      </c>
      <c r="N6" t="s">
        <v>16</v>
      </c>
      <c r="O6" t="s">
        <v>46</v>
      </c>
      <c r="P6" t="s">
        <v>17</v>
      </c>
      <c r="Q6" t="s">
        <v>33</v>
      </c>
    </row>
    <row r="7" spans="1:17" x14ac:dyDescent="0.3">
      <c r="A7" s="1">
        <v>45969</v>
      </c>
      <c r="B7">
        <v>29.9</v>
      </c>
      <c r="C7">
        <v>25.8</v>
      </c>
      <c r="D7">
        <v>27.7</v>
      </c>
      <c r="E7">
        <v>68</v>
      </c>
      <c r="F7">
        <v>1.3</v>
      </c>
      <c r="G7">
        <v>38.700000000000003</v>
      </c>
      <c r="H7">
        <v>26.6</v>
      </c>
      <c r="I7">
        <v>26.3</v>
      </c>
      <c r="J7">
        <v>13.2</v>
      </c>
      <c r="K7">
        <v>9</v>
      </c>
      <c r="L7" s="2">
        <v>0.25344907407407408</v>
      </c>
      <c r="M7" s="2">
        <v>0.73626157407407411</v>
      </c>
      <c r="N7" t="s">
        <v>18</v>
      </c>
      <c r="O7" t="s">
        <v>19</v>
      </c>
      <c r="P7" t="s">
        <v>20</v>
      </c>
      <c r="Q7" t="s">
        <v>33</v>
      </c>
    </row>
    <row r="8" spans="1:17" x14ac:dyDescent="0.3">
      <c r="A8" s="1">
        <v>45970</v>
      </c>
      <c r="B8">
        <v>28.9</v>
      </c>
      <c r="C8">
        <v>23.6</v>
      </c>
      <c r="D8">
        <v>26.5</v>
      </c>
      <c r="E8">
        <v>62.8</v>
      </c>
      <c r="F8">
        <v>0</v>
      </c>
      <c r="G8">
        <v>29</v>
      </c>
      <c r="H8">
        <v>27.4</v>
      </c>
      <c r="I8">
        <v>23</v>
      </c>
      <c r="J8">
        <v>47.2</v>
      </c>
      <c r="K8">
        <v>8</v>
      </c>
      <c r="L8" s="2">
        <v>0.25370370370370371</v>
      </c>
      <c r="M8" s="2">
        <v>0.7361226851851852</v>
      </c>
      <c r="N8" t="s">
        <v>21</v>
      </c>
      <c r="O8" t="s">
        <v>23</v>
      </c>
      <c r="P8" t="s">
        <v>22</v>
      </c>
      <c r="Q8" t="s">
        <v>33</v>
      </c>
    </row>
    <row r="9" spans="1:17" x14ac:dyDescent="0.3">
      <c r="A9" s="1">
        <v>45971</v>
      </c>
      <c r="B9">
        <v>28.5</v>
      </c>
      <c r="C9">
        <v>23.4</v>
      </c>
      <c r="D9">
        <v>26.1</v>
      </c>
      <c r="E9">
        <v>64.3</v>
      </c>
      <c r="F9">
        <v>0</v>
      </c>
      <c r="G9">
        <v>16.100000000000001</v>
      </c>
      <c r="H9">
        <v>25.9</v>
      </c>
      <c r="I9">
        <v>22</v>
      </c>
      <c r="J9">
        <v>66.8</v>
      </c>
      <c r="K9">
        <v>8</v>
      </c>
      <c r="L9" s="2">
        <v>0.25395833333333334</v>
      </c>
      <c r="M9" s="2">
        <v>0.73599537037037033</v>
      </c>
      <c r="N9" t="s">
        <v>21</v>
      </c>
      <c r="O9" t="s">
        <v>23</v>
      </c>
      <c r="P9" t="s">
        <v>22</v>
      </c>
      <c r="Q9" t="s">
        <v>33</v>
      </c>
    </row>
    <row r="10" spans="1:17" x14ac:dyDescent="0.3">
      <c r="A10" s="1">
        <v>45972</v>
      </c>
      <c r="B10">
        <v>28.8</v>
      </c>
      <c r="C10">
        <v>23.2</v>
      </c>
      <c r="D10">
        <v>26</v>
      </c>
      <c r="E10">
        <v>60.5</v>
      </c>
      <c r="F10">
        <v>0</v>
      </c>
      <c r="G10">
        <v>6.5</v>
      </c>
      <c r="H10">
        <v>24.5</v>
      </c>
      <c r="I10">
        <v>20.5</v>
      </c>
      <c r="J10">
        <v>32.200000000000003</v>
      </c>
      <c r="K10">
        <v>8</v>
      </c>
      <c r="L10" s="2">
        <v>0.25422453703703701</v>
      </c>
      <c r="M10" s="2">
        <v>0.73587962962962961</v>
      </c>
      <c r="N10" t="s">
        <v>21</v>
      </c>
      <c r="O10" t="s">
        <v>23</v>
      </c>
      <c r="P10" t="s">
        <v>22</v>
      </c>
      <c r="Q10" t="s">
        <v>33</v>
      </c>
    </row>
    <row r="11" spans="1:17" x14ac:dyDescent="0.3">
      <c r="A11" s="1">
        <v>45973</v>
      </c>
      <c r="B11">
        <v>28.4</v>
      </c>
      <c r="C11">
        <v>23.1</v>
      </c>
      <c r="D11">
        <v>25.9</v>
      </c>
      <c r="E11">
        <v>60.1</v>
      </c>
      <c r="F11">
        <v>0</v>
      </c>
      <c r="G11">
        <v>0</v>
      </c>
      <c r="H11">
        <v>25</v>
      </c>
      <c r="I11">
        <v>22</v>
      </c>
      <c r="J11">
        <v>26</v>
      </c>
      <c r="K11">
        <v>8</v>
      </c>
      <c r="L11" s="2">
        <v>0.25450231481481483</v>
      </c>
      <c r="M11" s="2">
        <v>0.73577546296296292</v>
      </c>
      <c r="N11" t="s">
        <v>21</v>
      </c>
      <c r="O11" t="s">
        <v>23</v>
      </c>
      <c r="P11" t="s">
        <v>22</v>
      </c>
      <c r="Q11" t="s">
        <v>33</v>
      </c>
    </row>
    <row r="12" spans="1:17" x14ac:dyDescent="0.3">
      <c r="A12" s="1">
        <v>45974</v>
      </c>
      <c r="B12">
        <v>28.2</v>
      </c>
      <c r="C12">
        <v>23.4</v>
      </c>
      <c r="D12">
        <v>25.9</v>
      </c>
      <c r="E12">
        <v>62</v>
      </c>
      <c r="F12">
        <v>0</v>
      </c>
      <c r="G12">
        <v>9.6999999999999993</v>
      </c>
      <c r="H12">
        <v>25.2</v>
      </c>
      <c r="I12">
        <v>22</v>
      </c>
      <c r="J12">
        <v>91.1</v>
      </c>
      <c r="K12">
        <v>8</v>
      </c>
      <c r="L12" s="2">
        <v>0.25479166666666669</v>
      </c>
      <c r="M12" s="2">
        <v>0.73568287037037039</v>
      </c>
      <c r="N12" t="s">
        <v>24</v>
      </c>
      <c r="O12" t="s">
        <v>25</v>
      </c>
      <c r="P12" t="s">
        <v>26</v>
      </c>
      <c r="Q12" t="s">
        <v>33</v>
      </c>
    </row>
    <row r="13" spans="1:17" x14ac:dyDescent="0.3">
      <c r="A13" s="1">
        <v>45975</v>
      </c>
      <c r="B13">
        <v>27.9</v>
      </c>
      <c r="C13">
        <v>22.8</v>
      </c>
      <c r="D13">
        <v>25.5</v>
      </c>
      <c r="E13">
        <v>64.3</v>
      </c>
      <c r="F13">
        <v>0</v>
      </c>
      <c r="G13">
        <v>6.5</v>
      </c>
      <c r="H13">
        <v>22</v>
      </c>
      <c r="I13">
        <v>19.8</v>
      </c>
      <c r="J13">
        <v>98.5</v>
      </c>
      <c r="K13">
        <v>7</v>
      </c>
      <c r="L13" s="2">
        <v>0.2550810185185185</v>
      </c>
      <c r="M13" s="2">
        <v>0.7356018518518519</v>
      </c>
      <c r="N13" t="s">
        <v>24</v>
      </c>
      <c r="O13" t="s">
        <v>25</v>
      </c>
      <c r="P13" t="s">
        <v>26</v>
      </c>
      <c r="Q13" t="s">
        <v>33</v>
      </c>
    </row>
    <row r="14" spans="1:17" x14ac:dyDescent="0.3">
      <c r="A14" s="1">
        <v>45976</v>
      </c>
      <c r="B14">
        <v>27.8</v>
      </c>
      <c r="C14">
        <v>22.6</v>
      </c>
      <c r="D14">
        <v>25.4</v>
      </c>
      <c r="E14">
        <v>63</v>
      </c>
      <c r="F14">
        <v>0.1</v>
      </c>
      <c r="G14">
        <v>16.100000000000001</v>
      </c>
      <c r="H14">
        <v>19.8</v>
      </c>
      <c r="I14">
        <v>18.399999999999999</v>
      </c>
      <c r="J14">
        <v>96.3</v>
      </c>
      <c r="K14">
        <v>8</v>
      </c>
      <c r="L14" s="2">
        <v>0.25537037037037036</v>
      </c>
      <c r="M14" s="2">
        <v>0.73554398148148148</v>
      </c>
      <c r="N14" t="s">
        <v>24</v>
      </c>
      <c r="O14" t="s">
        <v>25</v>
      </c>
      <c r="P14" t="s">
        <v>26</v>
      </c>
      <c r="Q14" t="s">
        <v>33</v>
      </c>
    </row>
    <row r="15" spans="1:17" x14ac:dyDescent="0.3">
      <c r="A15" s="1">
        <v>45977</v>
      </c>
      <c r="B15">
        <v>28.2</v>
      </c>
      <c r="C15">
        <v>22.3</v>
      </c>
      <c r="D15">
        <v>25.4</v>
      </c>
      <c r="E15">
        <v>56.8</v>
      </c>
      <c r="F15">
        <v>0</v>
      </c>
      <c r="G15">
        <v>16.100000000000001</v>
      </c>
      <c r="H15">
        <v>22.3</v>
      </c>
      <c r="I15">
        <v>19.100000000000001</v>
      </c>
      <c r="J15">
        <v>13.4</v>
      </c>
      <c r="K15">
        <v>8</v>
      </c>
      <c r="L15" s="2">
        <v>0.25568287037037035</v>
      </c>
      <c r="M15" s="2">
        <v>0.73548611111111106</v>
      </c>
      <c r="N15" t="s">
        <v>18</v>
      </c>
      <c r="O15" t="s">
        <v>19</v>
      </c>
      <c r="P15" t="s">
        <v>20</v>
      </c>
      <c r="Q15" t="s">
        <v>33</v>
      </c>
    </row>
    <row r="16" spans="1:17" x14ac:dyDescent="0.3">
      <c r="A16" s="1">
        <v>45978</v>
      </c>
      <c r="B16">
        <v>27.3</v>
      </c>
      <c r="C16">
        <v>21.7</v>
      </c>
      <c r="D16">
        <v>25</v>
      </c>
      <c r="E16">
        <v>59.3</v>
      </c>
      <c r="F16">
        <v>0</v>
      </c>
      <c r="G16">
        <v>16.100000000000001</v>
      </c>
      <c r="H16">
        <v>22</v>
      </c>
      <c r="I16">
        <v>20.5</v>
      </c>
      <c r="J16">
        <v>26.1</v>
      </c>
      <c r="K16">
        <v>8</v>
      </c>
      <c r="L16" s="2">
        <v>0.25598379629629631</v>
      </c>
      <c r="M16" s="2">
        <v>0.73545138888888884</v>
      </c>
      <c r="N16" t="s">
        <v>21</v>
      </c>
      <c r="O16" t="s">
        <v>23</v>
      </c>
      <c r="P16" t="s">
        <v>22</v>
      </c>
      <c r="Q16" t="s">
        <v>33</v>
      </c>
    </row>
    <row r="17" spans="1:17" x14ac:dyDescent="0.3">
      <c r="A17" s="1">
        <v>45964</v>
      </c>
      <c r="B17">
        <v>33</v>
      </c>
      <c r="C17">
        <v>22</v>
      </c>
      <c r="D17">
        <v>26.1</v>
      </c>
      <c r="E17">
        <v>77.8</v>
      </c>
      <c r="F17">
        <v>1.2</v>
      </c>
      <c r="G17">
        <v>100</v>
      </c>
      <c r="H17">
        <v>27.4</v>
      </c>
      <c r="I17">
        <v>18.399999999999999</v>
      </c>
      <c r="J17">
        <v>47.7</v>
      </c>
      <c r="K17">
        <v>9</v>
      </c>
      <c r="L17" s="2">
        <v>0.25987268518518519</v>
      </c>
      <c r="M17" s="2">
        <v>0.74798611111111113</v>
      </c>
      <c r="N17" t="s">
        <v>16</v>
      </c>
      <c r="O17" t="s">
        <v>30</v>
      </c>
      <c r="P17" t="s">
        <v>17</v>
      </c>
      <c r="Q17" t="s">
        <v>32</v>
      </c>
    </row>
    <row r="18" spans="1:17" x14ac:dyDescent="0.3">
      <c r="A18" s="1">
        <v>45965</v>
      </c>
      <c r="B18">
        <v>28.3</v>
      </c>
      <c r="C18">
        <v>21.2</v>
      </c>
      <c r="D18">
        <v>24</v>
      </c>
      <c r="E18">
        <v>84.5</v>
      </c>
      <c r="F18">
        <v>2.6</v>
      </c>
      <c r="G18">
        <v>96.8</v>
      </c>
      <c r="H18">
        <v>24.8</v>
      </c>
      <c r="I18">
        <v>14.8</v>
      </c>
      <c r="J18">
        <v>90.2</v>
      </c>
      <c r="K18">
        <v>8</v>
      </c>
      <c r="L18" s="2">
        <v>0.26004629629629628</v>
      </c>
      <c r="M18" s="2">
        <v>0.74782407407407403</v>
      </c>
      <c r="N18" t="s">
        <v>27</v>
      </c>
      <c r="O18" t="s">
        <v>29</v>
      </c>
      <c r="P18" t="s">
        <v>17</v>
      </c>
      <c r="Q18" t="s">
        <v>32</v>
      </c>
    </row>
    <row r="19" spans="1:17" x14ac:dyDescent="0.3">
      <c r="A19" s="1">
        <v>45966</v>
      </c>
      <c r="B19">
        <v>29.4</v>
      </c>
      <c r="C19">
        <v>21.5</v>
      </c>
      <c r="D19">
        <v>24.4</v>
      </c>
      <c r="E19">
        <v>82.6</v>
      </c>
      <c r="F19">
        <v>6.1</v>
      </c>
      <c r="G19">
        <v>96.8</v>
      </c>
      <c r="H19">
        <v>28.1</v>
      </c>
      <c r="I19">
        <v>18</v>
      </c>
      <c r="J19">
        <v>55.8</v>
      </c>
      <c r="K19">
        <v>9</v>
      </c>
      <c r="L19" s="2">
        <v>0.26024305555555555</v>
      </c>
      <c r="M19" s="2">
        <v>0.74766203703703704</v>
      </c>
      <c r="N19" t="s">
        <v>16</v>
      </c>
      <c r="O19" t="s">
        <v>30</v>
      </c>
      <c r="P19" t="s">
        <v>17</v>
      </c>
      <c r="Q19" t="s">
        <v>32</v>
      </c>
    </row>
    <row r="20" spans="1:17" x14ac:dyDescent="0.3">
      <c r="A20" s="1">
        <v>45967</v>
      </c>
      <c r="B20">
        <v>26.5</v>
      </c>
      <c r="C20">
        <v>21</v>
      </c>
      <c r="D20">
        <v>22.8</v>
      </c>
      <c r="E20">
        <v>86.1</v>
      </c>
      <c r="F20">
        <v>2</v>
      </c>
      <c r="G20">
        <v>48.4</v>
      </c>
      <c r="H20">
        <v>28.4</v>
      </c>
      <c r="I20">
        <v>16.600000000000001</v>
      </c>
      <c r="J20">
        <v>94.1</v>
      </c>
      <c r="K20">
        <v>5</v>
      </c>
      <c r="L20" s="2">
        <v>0.26043981481481482</v>
      </c>
      <c r="M20" s="2">
        <v>0.74752314814814813</v>
      </c>
      <c r="N20" t="s">
        <v>27</v>
      </c>
      <c r="O20" t="s">
        <v>50</v>
      </c>
      <c r="P20" t="s">
        <v>17</v>
      </c>
      <c r="Q20" t="s">
        <v>32</v>
      </c>
    </row>
    <row r="21" spans="1:17" x14ac:dyDescent="0.3">
      <c r="A21" s="1">
        <v>45968</v>
      </c>
      <c r="B21">
        <v>27.8</v>
      </c>
      <c r="C21">
        <v>20.399999999999999</v>
      </c>
      <c r="D21">
        <v>22.8</v>
      </c>
      <c r="E21">
        <v>83.2</v>
      </c>
      <c r="F21">
        <v>8.9</v>
      </c>
      <c r="G21">
        <v>12.9</v>
      </c>
      <c r="H21">
        <v>22.3</v>
      </c>
      <c r="I21">
        <v>13.3</v>
      </c>
      <c r="J21">
        <v>66.5</v>
      </c>
      <c r="K21">
        <v>8</v>
      </c>
      <c r="L21" s="2">
        <v>0.26064814814814813</v>
      </c>
      <c r="M21" s="2">
        <v>0.74738425925925922</v>
      </c>
      <c r="N21" t="s">
        <v>21</v>
      </c>
      <c r="O21" t="s">
        <v>23</v>
      </c>
      <c r="P21" t="s">
        <v>22</v>
      </c>
      <c r="Q21" t="s">
        <v>32</v>
      </c>
    </row>
    <row r="22" spans="1:17" x14ac:dyDescent="0.3">
      <c r="A22" s="1">
        <v>45969</v>
      </c>
      <c r="B22">
        <v>28.5</v>
      </c>
      <c r="C22">
        <v>20.7</v>
      </c>
      <c r="D22">
        <v>23.8</v>
      </c>
      <c r="E22">
        <v>80.2</v>
      </c>
      <c r="F22">
        <v>16.899999999999999</v>
      </c>
      <c r="G22">
        <v>48.4</v>
      </c>
      <c r="H22">
        <v>19.100000000000001</v>
      </c>
      <c r="I22">
        <v>10.8</v>
      </c>
      <c r="J22">
        <v>77.599999999999994</v>
      </c>
      <c r="K22">
        <v>9</v>
      </c>
      <c r="L22" s="2">
        <v>0.26085648148148149</v>
      </c>
      <c r="M22" s="2">
        <v>0.7472685185185185</v>
      </c>
      <c r="N22" t="s">
        <v>16</v>
      </c>
      <c r="O22" t="s">
        <v>28</v>
      </c>
      <c r="P22" t="s">
        <v>17</v>
      </c>
      <c r="Q22" t="s">
        <v>32</v>
      </c>
    </row>
    <row r="23" spans="1:17" x14ac:dyDescent="0.3">
      <c r="A23" s="1">
        <v>45970</v>
      </c>
      <c r="B23">
        <v>28.4</v>
      </c>
      <c r="C23">
        <v>22.4</v>
      </c>
      <c r="D23">
        <v>24.7</v>
      </c>
      <c r="E23">
        <v>80</v>
      </c>
      <c r="F23">
        <v>8.6</v>
      </c>
      <c r="G23">
        <v>67.7</v>
      </c>
      <c r="H23">
        <v>14.4</v>
      </c>
      <c r="I23">
        <v>12.6</v>
      </c>
      <c r="J23">
        <v>57.2</v>
      </c>
      <c r="K23">
        <v>7</v>
      </c>
      <c r="L23" s="2">
        <v>0.26108796296296294</v>
      </c>
      <c r="M23" s="2">
        <v>0.74715277777777778</v>
      </c>
      <c r="N23" t="s">
        <v>16</v>
      </c>
      <c r="O23" t="s">
        <v>47</v>
      </c>
      <c r="P23" t="s">
        <v>17</v>
      </c>
      <c r="Q23" t="s">
        <v>32</v>
      </c>
    </row>
    <row r="24" spans="1:17" x14ac:dyDescent="0.3">
      <c r="A24" s="1">
        <v>45971</v>
      </c>
      <c r="B24">
        <v>27.1</v>
      </c>
      <c r="C24">
        <v>20.9</v>
      </c>
      <c r="D24">
        <v>23.8</v>
      </c>
      <c r="E24">
        <v>73.7</v>
      </c>
      <c r="F24">
        <v>0.4</v>
      </c>
      <c r="G24">
        <v>71</v>
      </c>
      <c r="H24">
        <v>14.8</v>
      </c>
      <c r="I24">
        <v>10.8</v>
      </c>
      <c r="J24">
        <v>81.400000000000006</v>
      </c>
      <c r="K24">
        <v>8</v>
      </c>
      <c r="L24" s="2">
        <v>0.26130787037037034</v>
      </c>
      <c r="M24" s="2">
        <v>0.74706018518518513</v>
      </c>
      <c r="N24" t="s">
        <v>16</v>
      </c>
      <c r="O24" t="s">
        <v>46</v>
      </c>
      <c r="P24" t="s">
        <v>17</v>
      </c>
      <c r="Q24" t="s">
        <v>32</v>
      </c>
    </row>
    <row r="25" spans="1:17" x14ac:dyDescent="0.3">
      <c r="A25" s="1">
        <v>45972</v>
      </c>
      <c r="B25">
        <v>27.3</v>
      </c>
      <c r="C25">
        <v>20.399999999999999</v>
      </c>
      <c r="D25">
        <v>23.6</v>
      </c>
      <c r="E25">
        <v>75</v>
      </c>
      <c r="F25">
        <v>0.3</v>
      </c>
      <c r="G25">
        <v>71</v>
      </c>
      <c r="H25">
        <v>11.9</v>
      </c>
      <c r="I25">
        <v>10.8</v>
      </c>
      <c r="J25">
        <v>73.099999999999994</v>
      </c>
      <c r="K25">
        <v>9</v>
      </c>
      <c r="L25" s="2">
        <v>0.26155092592592594</v>
      </c>
      <c r="M25" s="2">
        <v>0.74697916666666664</v>
      </c>
      <c r="N25" t="s">
        <v>16</v>
      </c>
      <c r="O25" t="s">
        <v>28</v>
      </c>
      <c r="P25" t="s">
        <v>17</v>
      </c>
      <c r="Q25" t="s">
        <v>32</v>
      </c>
    </row>
    <row r="26" spans="1:17" x14ac:dyDescent="0.3">
      <c r="A26" s="1">
        <v>45973</v>
      </c>
      <c r="B26">
        <v>27.8</v>
      </c>
      <c r="C26">
        <v>20.2</v>
      </c>
      <c r="D26">
        <v>23.6</v>
      </c>
      <c r="E26">
        <v>77.2</v>
      </c>
      <c r="F26">
        <v>0.1</v>
      </c>
      <c r="G26">
        <v>45.2</v>
      </c>
      <c r="H26">
        <v>12.2</v>
      </c>
      <c r="I26">
        <v>10.1</v>
      </c>
      <c r="J26">
        <v>55.8</v>
      </c>
      <c r="K26">
        <v>8</v>
      </c>
      <c r="L26" s="2">
        <v>0.26179398148148147</v>
      </c>
      <c r="M26" s="2">
        <v>0.74689814814814814</v>
      </c>
      <c r="N26" t="s">
        <v>16</v>
      </c>
      <c r="O26" t="s">
        <v>28</v>
      </c>
      <c r="P26" t="s">
        <v>17</v>
      </c>
      <c r="Q26" t="s">
        <v>32</v>
      </c>
    </row>
    <row r="27" spans="1:17" x14ac:dyDescent="0.3">
      <c r="A27" s="1">
        <v>45974</v>
      </c>
      <c r="B27">
        <v>27.6</v>
      </c>
      <c r="C27">
        <v>20.399999999999999</v>
      </c>
      <c r="D27">
        <v>23.3</v>
      </c>
      <c r="E27">
        <v>79.599999999999994</v>
      </c>
      <c r="F27">
        <v>0.1</v>
      </c>
      <c r="G27">
        <v>38.700000000000003</v>
      </c>
      <c r="H27">
        <v>18.399999999999999</v>
      </c>
      <c r="I27">
        <v>11.9</v>
      </c>
      <c r="J27">
        <v>89.4</v>
      </c>
      <c r="K27">
        <v>8</v>
      </c>
      <c r="L27" s="2">
        <v>0.26204861111111111</v>
      </c>
      <c r="M27" s="2">
        <v>0.74684027777777773</v>
      </c>
      <c r="N27" t="s">
        <v>21</v>
      </c>
      <c r="O27" t="s">
        <v>23</v>
      </c>
      <c r="P27" t="s">
        <v>22</v>
      </c>
      <c r="Q27" t="s">
        <v>32</v>
      </c>
    </row>
    <row r="28" spans="1:17" x14ac:dyDescent="0.3">
      <c r="A28" s="1">
        <v>45975</v>
      </c>
      <c r="B28">
        <v>27.1</v>
      </c>
      <c r="C28">
        <v>20.100000000000001</v>
      </c>
      <c r="D28">
        <v>23.3</v>
      </c>
      <c r="E28">
        <v>78.900000000000006</v>
      </c>
      <c r="F28">
        <v>0.2</v>
      </c>
      <c r="G28">
        <v>19.399999999999999</v>
      </c>
      <c r="H28">
        <v>10.8</v>
      </c>
      <c r="I28">
        <v>10.4</v>
      </c>
      <c r="J28">
        <v>98.1</v>
      </c>
      <c r="K28">
        <v>7</v>
      </c>
      <c r="L28" s="2">
        <v>0.26230324074074074</v>
      </c>
      <c r="M28" s="2">
        <v>0.74679398148148146</v>
      </c>
      <c r="N28" t="s">
        <v>24</v>
      </c>
      <c r="O28" t="s">
        <v>25</v>
      </c>
      <c r="P28" t="s">
        <v>26</v>
      </c>
      <c r="Q28" t="s">
        <v>32</v>
      </c>
    </row>
    <row r="29" spans="1:17" x14ac:dyDescent="0.3">
      <c r="A29" s="1">
        <v>45976</v>
      </c>
      <c r="B29">
        <v>27.2</v>
      </c>
      <c r="C29">
        <v>20.2</v>
      </c>
      <c r="D29">
        <v>23.4</v>
      </c>
      <c r="E29">
        <v>74.3</v>
      </c>
      <c r="F29">
        <v>0.3</v>
      </c>
      <c r="G29">
        <v>9.6999999999999993</v>
      </c>
      <c r="H29">
        <v>15.1</v>
      </c>
      <c r="I29">
        <v>9.4</v>
      </c>
      <c r="J29">
        <v>78.400000000000006</v>
      </c>
      <c r="K29">
        <v>9</v>
      </c>
      <c r="L29" s="2">
        <v>0.26256944444444447</v>
      </c>
      <c r="M29" s="2">
        <v>0.74675925925925923</v>
      </c>
      <c r="N29" t="s">
        <v>21</v>
      </c>
      <c r="O29" t="s">
        <v>23</v>
      </c>
      <c r="P29" t="s">
        <v>22</v>
      </c>
      <c r="Q29" t="s">
        <v>32</v>
      </c>
    </row>
    <row r="30" spans="1:17" x14ac:dyDescent="0.3">
      <c r="A30" s="1">
        <v>45977</v>
      </c>
      <c r="B30">
        <v>27.2</v>
      </c>
      <c r="C30">
        <v>19.5</v>
      </c>
      <c r="D30">
        <v>23.1</v>
      </c>
      <c r="E30">
        <v>74</v>
      </c>
      <c r="F30">
        <v>0.1</v>
      </c>
      <c r="G30">
        <v>16.100000000000001</v>
      </c>
      <c r="H30">
        <v>13.3</v>
      </c>
      <c r="I30">
        <v>9.6999999999999993</v>
      </c>
      <c r="J30">
        <v>72.599999999999994</v>
      </c>
      <c r="K30">
        <v>9</v>
      </c>
      <c r="L30" s="2">
        <v>0.26284722222222223</v>
      </c>
      <c r="M30" s="2">
        <v>0.74673611111111116</v>
      </c>
      <c r="N30" t="s">
        <v>21</v>
      </c>
      <c r="O30" t="s">
        <v>23</v>
      </c>
      <c r="P30" t="s">
        <v>22</v>
      </c>
      <c r="Q30" t="s">
        <v>32</v>
      </c>
    </row>
    <row r="31" spans="1:17" x14ac:dyDescent="0.3">
      <c r="A31" s="1">
        <v>45978</v>
      </c>
      <c r="B31">
        <v>27.4</v>
      </c>
      <c r="C31">
        <v>20.3</v>
      </c>
      <c r="D31">
        <v>23.6</v>
      </c>
      <c r="E31">
        <v>70.3</v>
      </c>
      <c r="F31">
        <v>0</v>
      </c>
      <c r="G31">
        <v>19.399999999999999</v>
      </c>
      <c r="H31">
        <v>15.5</v>
      </c>
      <c r="I31">
        <v>9.6999999999999993</v>
      </c>
      <c r="J31">
        <v>50.7</v>
      </c>
      <c r="K31">
        <v>9</v>
      </c>
      <c r="L31" s="2">
        <v>0.263125</v>
      </c>
      <c r="M31" s="2">
        <v>0.74673611111111116</v>
      </c>
      <c r="N31" t="s">
        <v>21</v>
      </c>
      <c r="O31" t="s">
        <v>23</v>
      </c>
      <c r="P31" t="s">
        <v>22</v>
      </c>
      <c r="Q31" t="s">
        <v>32</v>
      </c>
    </row>
    <row r="32" spans="1:17" x14ac:dyDescent="0.3">
      <c r="A32" s="1">
        <v>45964</v>
      </c>
      <c r="B32">
        <v>36</v>
      </c>
      <c r="C32">
        <v>25</v>
      </c>
      <c r="D32">
        <v>29.7</v>
      </c>
      <c r="E32">
        <v>65.8</v>
      </c>
      <c r="F32">
        <v>1.8</v>
      </c>
      <c r="G32">
        <v>38.700000000000003</v>
      </c>
      <c r="H32">
        <v>13.3</v>
      </c>
      <c r="I32">
        <v>14.8</v>
      </c>
      <c r="J32">
        <v>45.1</v>
      </c>
      <c r="K32">
        <v>9</v>
      </c>
      <c r="L32" s="2">
        <v>0.25583333333333336</v>
      </c>
      <c r="M32" s="2">
        <v>0.74561342592592594</v>
      </c>
      <c r="N32" t="s">
        <v>21</v>
      </c>
      <c r="O32" t="s">
        <v>23</v>
      </c>
      <c r="P32" t="s">
        <v>22</v>
      </c>
      <c r="Q32" t="s">
        <v>34</v>
      </c>
    </row>
    <row r="33" spans="1:17" x14ac:dyDescent="0.3">
      <c r="A33" s="1">
        <v>45965</v>
      </c>
      <c r="B33">
        <v>31.1</v>
      </c>
      <c r="C33">
        <v>24</v>
      </c>
      <c r="D33">
        <v>27.1</v>
      </c>
      <c r="E33">
        <v>71.7</v>
      </c>
      <c r="F33">
        <v>2</v>
      </c>
      <c r="G33">
        <v>67.7</v>
      </c>
      <c r="H33">
        <v>16.600000000000001</v>
      </c>
      <c r="I33">
        <v>11.9</v>
      </c>
      <c r="J33">
        <v>99.7</v>
      </c>
      <c r="K33">
        <v>7</v>
      </c>
      <c r="L33" s="2">
        <v>0.25599537037037035</v>
      </c>
      <c r="M33" s="2">
        <v>0.74546296296296299</v>
      </c>
      <c r="N33" t="s">
        <v>27</v>
      </c>
      <c r="O33" t="s">
        <v>29</v>
      </c>
      <c r="P33" t="s">
        <v>17</v>
      </c>
      <c r="Q33" t="s">
        <v>34</v>
      </c>
    </row>
    <row r="34" spans="1:17" x14ac:dyDescent="0.3">
      <c r="A34" s="1">
        <v>45966</v>
      </c>
      <c r="B34">
        <v>31.4</v>
      </c>
      <c r="C34">
        <v>23.4</v>
      </c>
      <c r="D34">
        <v>26.7</v>
      </c>
      <c r="E34">
        <v>75</v>
      </c>
      <c r="F34">
        <v>21.6</v>
      </c>
      <c r="G34">
        <v>96.8</v>
      </c>
      <c r="H34">
        <v>10.4</v>
      </c>
      <c r="I34">
        <v>11.2</v>
      </c>
      <c r="J34">
        <v>73.099999999999994</v>
      </c>
      <c r="K34">
        <v>9</v>
      </c>
      <c r="L34" s="2">
        <v>0.25616898148148148</v>
      </c>
      <c r="M34" s="2">
        <v>0.74532407407407408</v>
      </c>
      <c r="N34" t="s">
        <v>16</v>
      </c>
      <c r="O34" t="s">
        <v>30</v>
      </c>
      <c r="P34" t="s">
        <v>17</v>
      </c>
      <c r="Q34" t="s">
        <v>34</v>
      </c>
    </row>
    <row r="35" spans="1:17" x14ac:dyDescent="0.3">
      <c r="A35" s="1">
        <v>45967</v>
      </c>
      <c r="B35">
        <v>29.4</v>
      </c>
      <c r="C35">
        <v>21.7</v>
      </c>
      <c r="D35">
        <v>25</v>
      </c>
      <c r="E35">
        <v>75.599999999999994</v>
      </c>
      <c r="F35">
        <v>7.1</v>
      </c>
      <c r="G35">
        <v>77.400000000000006</v>
      </c>
      <c r="H35">
        <v>21.6</v>
      </c>
      <c r="I35">
        <v>12.2</v>
      </c>
      <c r="J35">
        <v>92.8</v>
      </c>
      <c r="K35">
        <v>9</v>
      </c>
      <c r="L35" s="2">
        <v>0.25635416666666666</v>
      </c>
      <c r="M35" s="2">
        <v>0.74519675925925921</v>
      </c>
      <c r="N35" t="s">
        <v>27</v>
      </c>
      <c r="O35" t="s">
        <v>50</v>
      </c>
      <c r="P35" t="s">
        <v>17</v>
      </c>
      <c r="Q35" t="s">
        <v>34</v>
      </c>
    </row>
    <row r="36" spans="1:17" x14ac:dyDescent="0.3">
      <c r="A36" s="1">
        <v>45968</v>
      </c>
      <c r="B36">
        <v>31</v>
      </c>
      <c r="C36">
        <v>23.4</v>
      </c>
      <c r="D36">
        <v>26.3</v>
      </c>
      <c r="E36">
        <v>72.099999999999994</v>
      </c>
      <c r="F36">
        <v>3.4</v>
      </c>
      <c r="G36">
        <v>16.100000000000001</v>
      </c>
      <c r="H36">
        <v>13.3</v>
      </c>
      <c r="I36">
        <v>9.4</v>
      </c>
      <c r="J36">
        <v>49.9</v>
      </c>
      <c r="K36">
        <v>9</v>
      </c>
      <c r="L36" s="2">
        <v>0.25653935185185184</v>
      </c>
      <c r="M36" s="2">
        <v>0.74508101851851849</v>
      </c>
      <c r="N36" t="s">
        <v>21</v>
      </c>
      <c r="O36" t="s">
        <v>23</v>
      </c>
      <c r="P36" t="s">
        <v>22</v>
      </c>
      <c r="Q36" t="s">
        <v>34</v>
      </c>
    </row>
    <row r="37" spans="1:17" x14ac:dyDescent="0.3">
      <c r="A37" s="1">
        <v>45969</v>
      </c>
      <c r="B37">
        <v>30.5</v>
      </c>
      <c r="C37">
        <v>22.9</v>
      </c>
      <c r="D37">
        <v>26</v>
      </c>
      <c r="E37">
        <v>74.099999999999994</v>
      </c>
      <c r="F37">
        <v>8.1</v>
      </c>
      <c r="G37">
        <v>45.2</v>
      </c>
      <c r="H37">
        <v>10.8</v>
      </c>
      <c r="I37">
        <v>9</v>
      </c>
      <c r="J37">
        <v>55.3</v>
      </c>
      <c r="K37">
        <v>9</v>
      </c>
      <c r="L37" s="2">
        <v>0.25673611111111111</v>
      </c>
      <c r="M37" s="2">
        <v>0.74497685185185181</v>
      </c>
      <c r="N37" t="s">
        <v>16</v>
      </c>
      <c r="O37" t="s">
        <v>51</v>
      </c>
      <c r="P37" t="s">
        <v>17</v>
      </c>
      <c r="Q37" t="s">
        <v>34</v>
      </c>
    </row>
    <row r="38" spans="1:17" x14ac:dyDescent="0.3">
      <c r="A38" s="1">
        <v>45970</v>
      </c>
      <c r="B38">
        <v>28.4</v>
      </c>
      <c r="C38">
        <v>23.9</v>
      </c>
      <c r="D38">
        <v>26</v>
      </c>
      <c r="E38">
        <v>78.599999999999994</v>
      </c>
      <c r="F38">
        <v>18.899999999999999</v>
      </c>
      <c r="G38">
        <v>64.5</v>
      </c>
      <c r="H38">
        <v>12.8</v>
      </c>
      <c r="I38">
        <v>8.5</v>
      </c>
      <c r="J38">
        <v>64.3</v>
      </c>
      <c r="K38">
        <v>8</v>
      </c>
      <c r="L38" s="2">
        <v>0.25694444444444442</v>
      </c>
      <c r="M38" s="2">
        <v>0.74488425925925927</v>
      </c>
      <c r="N38" t="s">
        <v>16</v>
      </c>
      <c r="O38" t="s">
        <v>30</v>
      </c>
      <c r="P38" t="s">
        <v>17</v>
      </c>
      <c r="Q38" t="s">
        <v>34</v>
      </c>
    </row>
    <row r="39" spans="1:17" x14ac:dyDescent="0.3">
      <c r="A39" s="1">
        <v>45971</v>
      </c>
      <c r="B39">
        <v>28.3</v>
      </c>
      <c r="C39">
        <v>23.1</v>
      </c>
      <c r="D39">
        <v>25.6</v>
      </c>
      <c r="E39">
        <v>73.8</v>
      </c>
      <c r="F39">
        <v>1.6</v>
      </c>
      <c r="G39">
        <v>77.400000000000006</v>
      </c>
      <c r="H39">
        <v>15.5</v>
      </c>
      <c r="I39">
        <v>9.4</v>
      </c>
      <c r="J39">
        <v>80.099999999999994</v>
      </c>
      <c r="K39">
        <v>7</v>
      </c>
      <c r="L39" s="2">
        <v>0.25715277777777779</v>
      </c>
      <c r="M39" s="2">
        <v>0.74480324074074078</v>
      </c>
      <c r="N39" t="s">
        <v>16</v>
      </c>
      <c r="O39" t="s">
        <v>47</v>
      </c>
      <c r="P39" t="s">
        <v>17</v>
      </c>
      <c r="Q39" t="s">
        <v>34</v>
      </c>
    </row>
    <row r="40" spans="1:17" x14ac:dyDescent="0.3">
      <c r="A40" s="1">
        <v>45972</v>
      </c>
      <c r="B40">
        <v>28.9</v>
      </c>
      <c r="C40">
        <v>23.8</v>
      </c>
      <c r="D40">
        <v>25.7</v>
      </c>
      <c r="E40">
        <v>75.599999999999994</v>
      </c>
      <c r="F40">
        <v>1.4</v>
      </c>
      <c r="G40">
        <v>61.3</v>
      </c>
      <c r="H40">
        <v>10.1</v>
      </c>
      <c r="I40">
        <v>8.6</v>
      </c>
      <c r="J40">
        <v>89</v>
      </c>
      <c r="K40">
        <v>7</v>
      </c>
      <c r="L40" s="2">
        <v>0.25737268518518519</v>
      </c>
      <c r="M40" s="2">
        <v>0.74473379629629632</v>
      </c>
      <c r="N40" t="s">
        <v>16</v>
      </c>
      <c r="O40" t="s">
        <v>47</v>
      </c>
      <c r="P40" t="s">
        <v>17</v>
      </c>
      <c r="Q40" t="s">
        <v>34</v>
      </c>
    </row>
    <row r="41" spans="1:17" x14ac:dyDescent="0.3">
      <c r="A41" s="1">
        <v>45973</v>
      </c>
      <c r="B41">
        <v>28.6</v>
      </c>
      <c r="C41">
        <v>23.2</v>
      </c>
      <c r="D41">
        <v>25.5</v>
      </c>
      <c r="E41">
        <v>75.5</v>
      </c>
      <c r="F41">
        <v>1.4</v>
      </c>
      <c r="G41">
        <v>58.1</v>
      </c>
      <c r="H41">
        <v>10.1</v>
      </c>
      <c r="I41">
        <v>7.2</v>
      </c>
      <c r="J41">
        <v>83.1</v>
      </c>
      <c r="K41">
        <v>6</v>
      </c>
      <c r="L41" s="2">
        <v>0.25760416666666669</v>
      </c>
      <c r="M41" s="2">
        <v>0.74467592592592591</v>
      </c>
      <c r="N41" t="s">
        <v>16</v>
      </c>
      <c r="O41" t="s">
        <v>53</v>
      </c>
      <c r="P41" t="s">
        <v>17</v>
      </c>
      <c r="Q41" t="s">
        <v>34</v>
      </c>
    </row>
    <row r="42" spans="1:17" x14ac:dyDescent="0.3">
      <c r="A42" s="1">
        <v>45974</v>
      </c>
      <c r="B42">
        <v>28.4</v>
      </c>
      <c r="C42">
        <v>23.1</v>
      </c>
      <c r="D42">
        <v>25</v>
      </c>
      <c r="E42">
        <v>71.400000000000006</v>
      </c>
      <c r="F42">
        <v>0.1</v>
      </c>
      <c r="G42">
        <v>32.299999999999997</v>
      </c>
      <c r="H42">
        <v>13</v>
      </c>
      <c r="I42">
        <v>13</v>
      </c>
      <c r="J42">
        <v>97.7</v>
      </c>
      <c r="K42">
        <v>7</v>
      </c>
      <c r="L42" s="2">
        <v>0.25783564814814813</v>
      </c>
      <c r="M42" s="2">
        <v>0.74462962962962964</v>
      </c>
      <c r="N42" t="s">
        <v>24</v>
      </c>
      <c r="O42" t="s">
        <v>25</v>
      </c>
      <c r="P42" t="s">
        <v>26</v>
      </c>
      <c r="Q42" t="s">
        <v>34</v>
      </c>
    </row>
    <row r="43" spans="1:17" x14ac:dyDescent="0.3">
      <c r="A43" s="1">
        <v>45975</v>
      </c>
      <c r="B43">
        <v>28</v>
      </c>
      <c r="C43">
        <v>21.9</v>
      </c>
      <c r="D43">
        <v>24.5</v>
      </c>
      <c r="E43">
        <v>70.3</v>
      </c>
      <c r="F43">
        <v>0</v>
      </c>
      <c r="G43">
        <v>12.9</v>
      </c>
      <c r="H43">
        <v>12.2</v>
      </c>
      <c r="I43">
        <v>9.6999999999999993</v>
      </c>
      <c r="J43">
        <v>99.7</v>
      </c>
      <c r="K43">
        <v>7</v>
      </c>
      <c r="L43" s="2">
        <v>0.25807870370370373</v>
      </c>
      <c r="M43" s="2">
        <v>0.74460648148148145</v>
      </c>
      <c r="N43" t="s">
        <v>24</v>
      </c>
      <c r="O43" t="s">
        <v>25</v>
      </c>
      <c r="P43" t="s">
        <v>26</v>
      </c>
      <c r="Q43" t="s">
        <v>34</v>
      </c>
    </row>
    <row r="44" spans="1:17" x14ac:dyDescent="0.3">
      <c r="A44" s="1">
        <v>45976</v>
      </c>
      <c r="B44">
        <v>28.7</v>
      </c>
      <c r="C44">
        <v>21.3</v>
      </c>
      <c r="D44">
        <v>24.6</v>
      </c>
      <c r="E44">
        <v>67.5</v>
      </c>
      <c r="F44">
        <v>0</v>
      </c>
      <c r="G44">
        <v>12.9</v>
      </c>
      <c r="H44">
        <v>15.6</v>
      </c>
      <c r="I44">
        <v>9.6999999999999993</v>
      </c>
      <c r="J44">
        <v>72.400000000000006</v>
      </c>
      <c r="K44">
        <v>7</v>
      </c>
      <c r="L44" s="2">
        <v>0.25833333333333336</v>
      </c>
      <c r="M44" s="2">
        <v>0.74458333333333337</v>
      </c>
      <c r="N44" t="s">
        <v>21</v>
      </c>
      <c r="O44" t="s">
        <v>54</v>
      </c>
      <c r="P44" t="s">
        <v>22</v>
      </c>
      <c r="Q44" t="s">
        <v>34</v>
      </c>
    </row>
    <row r="45" spans="1:17" x14ac:dyDescent="0.3">
      <c r="A45" s="1">
        <v>45977</v>
      </c>
      <c r="B45">
        <v>28.7</v>
      </c>
      <c r="C45">
        <v>22.1</v>
      </c>
      <c r="D45">
        <v>24.9</v>
      </c>
      <c r="E45">
        <v>66.900000000000006</v>
      </c>
      <c r="F45">
        <v>0.1</v>
      </c>
      <c r="G45">
        <v>9.6999999999999993</v>
      </c>
      <c r="H45">
        <v>15.8</v>
      </c>
      <c r="I45">
        <v>9.4</v>
      </c>
      <c r="J45">
        <v>78.900000000000006</v>
      </c>
      <c r="K45">
        <v>8</v>
      </c>
      <c r="L45" s="2">
        <v>0.25858796296296294</v>
      </c>
      <c r="M45" s="2">
        <v>0.74457175925925922</v>
      </c>
      <c r="N45" t="s">
        <v>21</v>
      </c>
      <c r="O45" t="s">
        <v>23</v>
      </c>
      <c r="P45" t="s">
        <v>22</v>
      </c>
      <c r="Q45" t="s">
        <v>34</v>
      </c>
    </row>
    <row r="46" spans="1:17" x14ac:dyDescent="0.3">
      <c r="A46" s="1">
        <v>45978</v>
      </c>
      <c r="B46">
        <v>29.1</v>
      </c>
      <c r="C46">
        <v>21.4</v>
      </c>
      <c r="D46">
        <v>24.9</v>
      </c>
      <c r="E46">
        <v>65.8</v>
      </c>
      <c r="F46">
        <v>0.1</v>
      </c>
      <c r="G46">
        <v>16.100000000000001</v>
      </c>
      <c r="H46">
        <v>14.2</v>
      </c>
      <c r="I46">
        <v>8.9</v>
      </c>
      <c r="J46">
        <v>45.7</v>
      </c>
      <c r="K46">
        <v>9</v>
      </c>
      <c r="L46" s="2">
        <v>0.25885416666666666</v>
      </c>
      <c r="M46" s="2">
        <v>0.74458333333333337</v>
      </c>
      <c r="N46" t="s">
        <v>21</v>
      </c>
      <c r="O46" t="s">
        <v>23</v>
      </c>
      <c r="P46" t="s">
        <v>22</v>
      </c>
      <c r="Q46" t="s">
        <v>34</v>
      </c>
    </row>
    <row r="47" spans="1:17" x14ac:dyDescent="0.3">
      <c r="A47" s="1">
        <v>45964</v>
      </c>
      <c r="B47">
        <v>36</v>
      </c>
      <c r="C47">
        <v>25</v>
      </c>
      <c r="D47">
        <v>29.8</v>
      </c>
      <c r="E47">
        <v>73.8</v>
      </c>
      <c r="F47">
        <v>1.8</v>
      </c>
      <c r="G47">
        <v>100</v>
      </c>
      <c r="H47">
        <v>31</v>
      </c>
      <c r="I47">
        <v>22.3</v>
      </c>
      <c r="J47">
        <v>44.6</v>
      </c>
      <c r="K47">
        <v>9</v>
      </c>
      <c r="L47" s="2">
        <v>0.25490740740740742</v>
      </c>
      <c r="M47" s="2">
        <v>0.74333333333333329</v>
      </c>
      <c r="N47" t="s">
        <v>16</v>
      </c>
      <c r="O47" t="s">
        <v>30</v>
      </c>
      <c r="P47" t="s">
        <v>17</v>
      </c>
      <c r="Q47" t="s">
        <v>35</v>
      </c>
    </row>
    <row r="48" spans="1:17" x14ac:dyDescent="0.3">
      <c r="A48" s="1">
        <v>45965</v>
      </c>
      <c r="B48">
        <v>31.1</v>
      </c>
      <c r="C48">
        <v>23.9</v>
      </c>
      <c r="D48">
        <v>27</v>
      </c>
      <c r="E48">
        <v>74.599999999999994</v>
      </c>
      <c r="F48">
        <v>0.6</v>
      </c>
      <c r="G48">
        <v>90.3</v>
      </c>
      <c r="H48">
        <v>41.8</v>
      </c>
      <c r="I48">
        <v>25.9</v>
      </c>
      <c r="J48">
        <v>99</v>
      </c>
      <c r="K48">
        <v>7</v>
      </c>
      <c r="L48" s="2">
        <v>0.25509259259259259</v>
      </c>
      <c r="M48" s="2">
        <v>0.7431712962962963</v>
      </c>
      <c r="N48" t="s">
        <v>27</v>
      </c>
      <c r="O48" t="s">
        <v>29</v>
      </c>
      <c r="P48" t="s">
        <v>17</v>
      </c>
      <c r="Q48" t="s">
        <v>35</v>
      </c>
    </row>
    <row r="49" spans="1:17" x14ac:dyDescent="0.3">
      <c r="A49" s="1">
        <v>45966</v>
      </c>
      <c r="B49">
        <v>32.700000000000003</v>
      </c>
      <c r="C49">
        <v>24.1</v>
      </c>
      <c r="D49">
        <v>27</v>
      </c>
      <c r="E49">
        <v>75.900000000000006</v>
      </c>
      <c r="F49">
        <v>14</v>
      </c>
      <c r="G49">
        <v>83.9</v>
      </c>
      <c r="H49">
        <v>38.200000000000003</v>
      </c>
      <c r="I49">
        <v>17.600000000000001</v>
      </c>
      <c r="J49">
        <v>85</v>
      </c>
      <c r="K49">
        <v>9</v>
      </c>
      <c r="L49" s="2">
        <v>0.25527777777777777</v>
      </c>
      <c r="M49" s="2">
        <v>0.74300925925925931</v>
      </c>
      <c r="N49" t="s">
        <v>16</v>
      </c>
      <c r="O49" t="s">
        <v>30</v>
      </c>
      <c r="P49" t="s">
        <v>17</v>
      </c>
      <c r="Q49" t="s">
        <v>35</v>
      </c>
    </row>
    <row r="50" spans="1:17" x14ac:dyDescent="0.3">
      <c r="A50" s="1">
        <v>45967</v>
      </c>
      <c r="B50">
        <v>30.9</v>
      </c>
      <c r="C50">
        <v>22.8</v>
      </c>
      <c r="D50">
        <v>26</v>
      </c>
      <c r="E50">
        <v>78.7</v>
      </c>
      <c r="F50">
        <v>18.3</v>
      </c>
      <c r="G50">
        <v>64.5</v>
      </c>
      <c r="H50">
        <v>38.9</v>
      </c>
      <c r="I50">
        <v>22</v>
      </c>
      <c r="J50">
        <v>87.6</v>
      </c>
      <c r="K50">
        <v>9</v>
      </c>
      <c r="L50" s="2">
        <v>0.25547453703703704</v>
      </c>
      <c r="M50" s="2">
        <v>0.7428703703703704</v>
      </c>
      <c r="N50" t="s">
        <v>16</v>
      </c>
      <c r="O50" t="s">
        <v>30</v>
      </c>
      <c r="P50" t="s">
        <v>17</v>
      </c>
      <c r="Q50" t="s">
        <v>35</v>
      </c>
    </row>
    <row r="51" spans="1:17" x14ac:dyDescent="0.3">
      <c r="A51" s="1">
        <v>45968</v>
      </c>
      <c r="B51">
        <v>31.4</v>
      </c>
      <c r="C51">
        <v>22.3</v>
      </c>
      <c r="D51">
        <v>26.2</v>
      </c>
      <c r="E51">
        <v>77</v>
      </c>
      <c r="F51">
        <v>3.2</v>
      </c>
      <c r="G51">
        <v>38.700000000000003</v>
      </c>
      <c r="H51">
        <v>41.4</v>
      </c>
      <c r="I51">
        <v>21.2</v>
      </c>
      <c r="J51">
        <v>39.4</v>
      </c>
      <c r="K51">
        <v>9</v>
      </c>
      <c r="L51" s="2">
        <v>0.25567129629629631</v>
      </c>
      <c r="M51" s="2">
        <v>0.74274305555555553</v>
      </c>
      <c r="N51" t="s">
        <v>21</v>
      </c>
      <c r="O51" t="s">
        <v>30</v>
      </c>
      <c r="P51" t="s">
        <v>22</v>
      </c>
      <c r="Q51" t="s">
        <v>35</v>
      </c>
    </row>
    <row r="52" spans="1:17" x14ac:dyDescent="0.3">
      <c r="A52" s="1">
        <v>45969</v>
      </c>
      <c r="B52">
        <v>29.8</v>
      </c>
      <c r="C52">
        <v>22.6</v>
      </c>
      <c r="D52">
        <v>25.7</v>
      </c>
      <c r="E52">
        <v>80.5</v>
      </c>
      <c r="F52">
        <v>16.100000000000001</v>
      </c>
      <c r="G52">
        <v>54.8</v>
      </c>
      <c r="H52">
        <v>24.1</v>
      </c>
      <c r="I52">
        <v>13.3</v>
      </c>
      <c r="J52">
        <v>42.6</v>
      </c>
      <c r="K52">
        <v>9</v>
      </c>
      <c r="L52" s="2">
        <v>0.25587962962962962</v>
      </c>
      <c r="M52" s="2">
        <v>0.74262731481481481</v>
      </c>
      <c r="N52" t="s">
        <v>16</v>
      </c>
      <c r="O52" t="s">
        <v>52</v>
      </c>
      <c r="P52" t="s">
        <v>17</v>
      </c>
      <c r="Q52" t="s">
        <v>35</v>
      </c>
    </row>
    <row r="53" spans="1:17" x14ac:dyDescent="0.3">
      <c r="A53" s="1">
        <v>45970</v>
      </c>
      <c r="B53">
        <v>30.5</v>
      </c>
      <c r="C53">
        <v>23.3</v>
      </c>
      <c r="D53">
        <v>26.1</v>
      </c>
      <c r="E53">
        <v>74.2</v>
      </c>
      <c r="F53">
        <v>3.4</v>
      </c>
      <c r="G53">
        <v>54.8</v>
      </c>
      <c r="H53">
        <v>24.5</v>
      </c>
      <c r="I53">
        <v>13.3</v>
      </c>
      <c r="J53">
        <v>90.5</v>
      </c>
      <c r="K53">
        <v>8</v>
      </c>
      <c r="L53" s="2">
        <v>0.25609953703703703</v>
      </c>
      <c r="M53" s="2">
        <v>0.74251157407407409</v>
      </c>
      <c r="N53" t="s">
        <v>27</v>
      </c>
      <c r="O53" t="s">
        <v>50</v>
      </c>
      <c r="P53" t="s">
        <v>17</v>
      </c>
      <c r="Q53" t="s">
        <v>35</v>
      </c>
    </row>
    <row r="54" spans="1:17" x14ac:dyDescent="0.3">
      <c r="A54" s="1">
        <v>45971</v>
      </c>
      <c r="B54">
        <v>29.7</v>
      </c>
      <c r="C54">
        <v>21.3</v>
      </c>
      <c r="D54">
        <v>24.9</v>
      </c>
      <c r="E54">
        <v>67.8</v>
      </c>
      <c r="F54">
        <v>0</v>
      </c>
      <c r="G54">
        <v>35.5</v>
      </c>
      <c r="H54">
        <v>23</v>
      </c>
      <c r="I54">
        <v>11.9</v>
      </c>
      <c r="J54">
        <v>52.6</v>
      </c>
      <c r="K54">
        <v>9</v>
      </c>
      <c r="L54" s="2">
        <v>0.25633101851851853</v>
      </c>
      <c r="M54" s="2">
        <v>0.74241898148148144</v>
      </c>
      <c r="N54" t="s">
        <v>21</v>
      </c>
      <c r="O54" t="s">
        <v>23</v>
      </c>
      <c r="P54" t="s">
        <v>22</v>
      </c>
      <c r="Q54" t="s">
        <v>35</v>
      </c>
    </row>
    <row r="55" spans="1:17" x14ac:dyDescent="0.3">
      <c r="A55" s="1">
        <v>45972</v>
      </c>
      <c r="B55">
        <v>30.1</v>
      </c>
      <c r="C55">
        <v>21.5</v>
      </c>
      <c r="D55">
        <v>25.4</v>
      </c>
      <c r="E55">
        <v>69.5</v>
      </c>
      <c r="F55">
        <v>0</v>
      </c>
      <c r="G55">
        <v>19.399999999999999</v>
      </c>
      <c r="H55">
        <v>22.3</v>
      </c>
      <c r="I55">
        <v>12.6</v>
      </c>
      <c r="J55">
        <v>58.9</v>
      </c>
      <c r="K55">
        <v>8</v>
      </c>
      <c r="L55" s="2">
        <v>0.25656250000000003</v>
      </c>
      <c r="M55" s="2">
        <v>0.74233796296296295</v>
      </c>
      <c r="N55" t="s">
        <v>21</v>
      </c>
      <c r="O55" t="s">
        <v>23</v>
      </c>
      <c r="P55" t="s">
        <v>22</v>
      </c>
      <c r="Q55" t="s">
        <v>35</v>
      </c>
    </row>
    <row r="56" spans="1:17" x14ac:dyDescent="0.3">
      <c r="A56" s="1">
        <v>45973</v>
      </c>
      <c r="B56">
        <v>29.5</v>
      </c>
      <c r="C56">
        <v>21.6</v>
      </c>
      <c r="D56">
        <v>25.1</v>
      </c>
      <c r="E56">
        <v>68.5</v>
      </c>
      <c r="F56">
        <v>0</v>
      </c>
      <c r="G56">
        <v>12.9</v>
      </c>
      <c r="H56">
        <v>19.8</v>
      </c>
      <c r="I56">
        <v>13</v>
      </c>
      <c r="J56">
        <v>59.6</v>
      </c>
      <c r="K56">
        <v>8</v>
      </c>
      <c r="L56" s="2">
        <v>0.25680555555555556</v>
      </c>
      <c r="M56" s="2">
        <v>0.74226851851851849</v>
      </c>
      <c r="N56" t="s">
        <v>21</v>
      </c>
      <c r="O56" t="s">
        <v>23</v>
      </c>
      <c r="P56" t="s">
        <v>22</v>
      </c>
      <c r="Q56" t="s">
        <v>35</v>
      </c>
    </row>
    <row r="57" spans="1:17" x14ac:dyDescent="0.3">
      <c r="A57" s="1">
        <v>45974</v>
      </c>
      <c r="B57">
        <v>29.4</v>
      </c>
      <c r="C57">
        <v>21.5</v>
      </c>
      <c r="D57">
        <v>24.7</v>
      </c>
      <c r="E57">
        <v>68.3</v>
      </c>
      <c r="F57">
        <v>0</v>
      </c>
      <c r="G57">
        <v>6.5</v>
      </c>
      <c r="H57">
        <v>22.7</v>
      </c>
      <c r="I57">
        <v>17.600000000000001</v>
      </c>
      <c r="J57">
        <v>72.7</v>
      </c>
      <c r="K57">
        <v>8</v>
      </c>
      <c r="L57" s="2">
        <v>0.2570486111111111</v>
      </c>
      <c r="M57" s="2">
        <v>0.74221064814814819</v>
      </c>
      <c r="N57" t="s">
        <v>21</v>
      </c>
      <c r="O57" t="s">
        <v>23</v>
      </c>
      <c r="P57" t="s">
        <v>22</v>
      </c>
      <c r="Q57" t="s">
        <v>35</v>
      </c>
    </row>
    <row r="58" spans="1:17" x14ac:dyDescent="0.3">
      <c r="A58" s="1">
        <v>45975</v>
      </c>
      <c r="B58">
        <v>29.2</v>
      </c>
      <c r="C58">
        <v>21.4</v>
      </c>
      <c r="D58">
        <v>24.5</v>
      </c>
      <c r="E58">
        <v>67</v>
      </c>
      <c r="F58">
        <v>0</v>
      </c>
      <c r="G58">
        <v>3.2</v>
      </c>
      <c r="H58">
        <v>25.6</v>
      </c>
      <c r="I58">
        <v>17.3</v>
      </c>
      <c r="J58">
        <v>80.599999999999994</v>
      </c>
      <c r="K58">
        <v>8</v>
      </c>
      <c r="L58" s="2">
        <v>0.25731481481481483</v>
      </c>
      <c r="M58" s="2">
        <v>0.74217592592592596</v>
      </c>
      <c r="N58" t="s">
        <v>21</v>
      </c>
      <c r="O58" t="s">
        <v>23</v>
      </c>
      <c r="P58" t="s">
        <v>22</v>
      </c>
      <c r="Q58" t="s">
        <v>35</v>
      </c>
    </row>
    <row r="59" spans="1:17" x14ac:dyDescent="0.3">
      <c r="A59" s="1">
        <v>45976</v>
      </c>
      <c r="B59">
        <v>29.3</v>
      </c>
      <c r="C59">
        <v>20.6</v>
      </c>
      <c r="D59">
        <v>24.1</v>
      </c>
      <c r="E59">
        <v>69.099999999999994</v>
      </c>
      <c r="F59">
        <v>0</v>
      </c>
      <c r="G59">
        <v>6.5</v>
      </c>
      <c r="H59">
        <v>28.1</v>
      </c>
      <c r="I59">
        <v>17.3</v>
      </c>
      <c r="J59">
        <v>56.1</v>
      </c>
      <c r="K59">
        <v>9</v>
      </c>
      <c r="L59" s="2">
        <v>0.25756944444444446</v>
      </c>
      <c r="M59" s="2">
        <v>0.74214120370370373</v>
      </c>
      <c r="N59" t="s">
        <v>21</v>
      </c>
      <c r="O59" t="s">
        <v>23</v>
      </c>
      <c r="P59" t="s">
        <v>22</v>
      </c>
      <c r="Q59" t="s">
        <v>35</v>
      </c>
    </row>
    <row r="60" spans="1:17" x14ac:dyDescent="0.3">
      <c r="A60" s="1">
        <v>45977</v>
      </c>
      <c r="B60">
        <v>29.5</v>
      </c>
      <c r="C60">
        <v>20</v>
      </c>
      <c r="D60">
        <v>23.9</v>
      </c>
      <c r="E60">
        <v>68.599999999999994</v>
      </c>
      <c r="F60">
        <v>0</v>
      </c>
      <c r="G60">
        <v>9.6999999999999993</v>
      </c>
      <c r="H60">
        <v>26.3</v>
      </c>
      <c r="I60">
        <v>13.7</v>
      </c>
      <c r="J60">
        <v>42.5</v>
      </c>
      <c r="K60">
        <v>9</v>
      </c>
      <c r="L60" s="2">
        <v>0.25784722222222223</v>
      </c>
      <c r="M60" s="2">
        <v>0.74211805555555554</v>
      </c>
      <c r="N60" t="s">
        <v>21</v>
      </c>
      <c r="O60" t="s">
        <v>23</v>
      </c>
      <c r="P60" t="s">
        <v>22</v>
      </c>
      <c r="Q60" t="s">
        <v>35</v>
      </c>
    </row>
    <row r="61" spans="1:17" x14ac:dyDescent="0.3">
      <c r="A61" s="1">
        <v>45978</v>
      </c>
      <c r="B61">
        <v>29.3</v>
      </c>
      <c r="C61">
        <v>19.7</v>
      </c>
      <c r="D61">
        <v>23.6</v>
      </c>
      <c r="E61">
        <v>64.5</v>
      </c>
      <c r="F61">
        <v>0</v>
      </c>
      <c r="G61">
        <v>16.100000000000001</v>
      </c>
      <c r="H61">
        <v>27.4</v>
      </c>
      <c r="I61">
        <v>15.1</v>
      </c>
      <c r="J61">
        <v>24.6</v>
      </c>
      <c r="K61">
        <v>9</v>
      </c>
      <c r="L61" s="2">
        <v>0.25812499999999999</v>
      </c>
      <c r="M61" s="2">
        <v>0.74211805555555554</v>
      </c>
      <c r="N61" t="s">
        <v>21</v>
      </c>
      <c r="O61" t="s">
        <v>23</v>
      </c>
      <c r="P61" t="s">
        <v>22</v>
      </c>
      <c r="Q61" t="s">
        <v>35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520E6-00A1-4F2A-ABE3-807D1EA80816}">
  <sheetPr codeName="Sheet6"/>
  <dimension ref="A3:P39"/>
  <sheetViews>
    <sheetView zoomScale="81" zoomScaleNormal="99" workbookViewId="0">
      <selection activeCell="P4" sqref="P4"/>
    </sheetView>
  </sheetViews>
  <sheetFormatPr defaultRowHeight="14.4" x14ac:dyDescent="0.3"/>
  <cols>
    <col min="1" max="1" width="10.33203125" bestFit="1" customWidth="1"/>
    <col min="2" max="2" width="11.6640625" bestFit="1" customWidth="1"/>
    <col min="3" max="3" width="10.109375" bestFit="1" customWidth="1"/>
    <col min="5" max="5" width="10.33203125" bestFit="1" customWidth="1"/>
    <col min="6" max="6" width="12" bestFit="1" customWidth="1"/>
    <col min="8" max="8" width="10.33203125" bestFit="1" customWidth="1"/>
    <col min="9" max="9" width="9" bestFit="1" customWidth="1"/>
    <col min="11" max="11" width="10.33203125" bestFit="1" customWidth="1"/>
    <col min="12" max="12" width="11.88671875" bestFit="1" customWidth="1"/>
    <col min="13" max="13" width="11"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3" spans="1:16" x14ac:dyDescent="0.3">
      <c r="A3" s="3" t="s">
        <v>0</v>
      </c>
      <c r="B3" t="s">
        <v>36</v>
      </c>
      <c r="C3" t="s">
        <v>37</v>
      </c>
      <c r="E3" s="3" t="s">
        <v>0</v>
      </c>
      <c r="F3" t="s">
        <v>38</v>
      </c>
      <c r="H3" s="3" t="s">
        <v>0</v>
      </c>
      <c r="I3" t="s">
        <v>39</v>
      </c>
      <c r="K3" s="3" t="s">
        <v>0</v>
      </c>
      <c r="L3" t="s">
        <v>42</v>
      </c>
      <c r="M3" t="s">
        <v>43</v>
      </c>
      <c r="O3" s="9" t="s">
        <v>0</v>
      </c>
      <c r="P3" s="10" t="s">
        <v>49</v>
      </c>
    </row>
    <row r="4" spans="1:16" x14ac:dyDescent="0.3">
      <c r="A4" s="4">
        <v>45964</v>
      </c>
      <c r="B4" s="5">
        <v>24.5</v>
      </c>
      <c r="C4" s="5">
        <v>35</v>
      </c>
      <c r="E4" s="4">
        <v>45964</v>
      </c>
      <c r="F4" s="5">
        <v>28.824999999999999</v>
      </c>
      <c r="H4" s="4">
        <v>45964</v>
      </c>
      <c r="I4" s="6">
        <v>8.75</v>
      </c>
      <c r="K4" s="4">
        <v>45964</v>
      </c>
      <c r="L4" s="5">
        <v>2.4500000000000002</v>
      </c>
      <c r="M4" s="5">
        <v>84.674999999999997</v>
      </c>
      <c r="O4" s="11">
        <v>45964</v>
      </c>
      <c r="P4" s="14">
        <v>48.875</v>
      </c>
    </row>
    <row r="5" spans="1:16" x14ac:dyDescent="0.3">
      <c r="A5" s="4">
        <v>45965</v>
      </c>
      <c r="B5" s="5">
        <v>24.174999999999997</v>
      </c>
      <c r="C5" s="5">
        <v>30.549999999999997</v>
      </c>
      <c r="E5" s="4">
        <v>45965</v>
      </c>
      <c r="F5" s="5">
        <v>26.825000000000003</v>
      </c>
      <c r="H5" s="4">
        <v>45965</v>
      </c>
      <c r="I5" s="6">
        <v>7.5</v>
      </c>
      <c r="K5" s="4">
        <v>45965</v>
      </c>
      <c r="L5" s="5">
        <v>3.9</v>
      </c>
      <c r="M5" s="5">
        <v>88.7</v>
      </c>
      <c r="O5" s="12">
        <v>45965</v>
      </c>
      <c r="P5" s="15">
        <v>88.474999999999994</v>
      </c>
    </row>
    <row r="6" spans="1:16" x14ac:dyDescent="0.3">
      <c r="A6" s="4">
        <v>45966</v>
      </c>
      <c r="B6" s="5">
        <v>24</v>
      </c>
      <c r="C6" s="5">
        <v>30.95</v>
      </c>
      <c r="E6" s="4">
        <v>45966</v>
      </c>
      <c r="F6" s="5">
        <v>26.65</v>
      </c>
      <c r="H6" s="4">
        <v>45966</v>
      </c>
      <c r="I6" s="6">
        <v>8.75</v>
      </c>
      <c r="K6" s="4">
        <v>45966</v>
      </c>
      <c r="L6" s="5">
        <v>10.7</v>
      </c>
      <c r="M6" s="5">
        <v>87.925000000000011</v>
      </c>
      <c r="O6" s="12">
        <v>45966</v>
      </c>
      <c r="P6" s="15">
        <v>72.074999999999989</v>
      </c>
    </row>
    <row r="7" spans="1:16" x14ac:dyDescent="0.3">
      <c r="A7" s="4">
        <v>45967</v>
      </c>
      <c r="B7" s="5">
        <v>23.175000000000001</v>
      </c>
      <c r="C7" s="5">
        <v>29.1</v>
      </c>
      <c r="E7" s="4">
        <v>45967</v>
      </c>
      <c r="F7" s="5">
        <v>25.475000000000001</v>
      </c>
      <c r="H7" s="4">
        <v>45967</v>
      </c>
      <c r="I7" s="6">
        <v>7.5</v>
      </c>
      <c r="K7" s="4">
        <v>45967</v>
      </c>
      <c r="L7" s="5">
        <v>7.375</v>
      </c>
      <c r="M7" s="5">
        <v>66.925000000000011</v>
      </c>
      <c r="O7" s="12">
        <v>45967</v>
      </c>
      <c r="P7" s="15">
        <v>88.925000000000011</v>
      </c>
    </row>
    <row r="8" spans="1:16" x14ac:dyDescent="0.3">
      <c r="A8" s="4">
        <v>45968</v>
      </c>
      <c r="B8" s="5">
        <v>22.849999999999998</v>
      </c>
      <c r="C8" s="5">
        <v>29.924999999999997</v>
      </c>
      <c r="E8" s="4">
        <v>45968</v>
      </c>
      <c r="F8" s="5">
        <v>25.7</v>
      </c>
      <c r="H8" s="4">
        <v>45968</v>
      </c>
      <c r="I8" s="6">
        <v>8.5</v>
      </c>
      <c r="K8" s="4">
        <v>45968</v>
      </c>
      <c r="L8" s="5">
        <v>4.4750000000000005</v>
      </c>
      <c r="M8" s="5">
        <v>30.625000000000004</v>
      </c>
      <c r="O8" s="12">
        <v>45968</v>
      </c>
      <c r="P8" s="15">
        <v>50.300000000000004</v>
      </c>
    </row>
    <row r="9" spans="1:16" x14ac:dyDescent="0.3">
      <c r="A9" s="4">
        <v>45969</v>
      </c>
      <c r="B9" s="5">
        <v>23</v>
      </c>
      <c r="C9" s="5">
        <v>29.675000000000001</v>
      </c>
      <c r="E9" s="4">
        <v>45969</v>
      </c>
      <c r="F9" s="5">
        <v>25.8</v>
      </c>
      <c r="H9" s="4">
        <v>45969</v>
      </c>
      <c r="I9" s="6">
        <v>9</v>
      </c>
      <c r="K9" s="4">
        <v>45969</v>
      </c>
      <c r="L9" s="5">
        <v>10.6</v>
      </c>
      <c r="M9" s="5">
        <v>46.775000000000006</v>
      </c>
      <c r="O9" s="12">
        <v>45969</v>
      </c>
      <c r="P9" s="15">
        <v>47.174999999999997</v>
      </c>
    </row>
    <row r="10" spans="1:16" x14ac:dyDescent="0.3">
      <c r="A10" s="4">
        <v>45970</v>
      </c>
      <c r="B10" s="5">
        <v>23.3</v>
      </c>
      <c r="C10" s="5">
        <v>29.049999999999997</v>
      </c>
      <c r="E10" s="4">
        <v>45970</v>
      </c>
      <c r="F10" s="5">
        <v>25.825000000000003</v>
      </c>
      <c r="H10" s="4">
        <v>45970</v>
      </c>
      <c r="I10" s="6">
        <v>7.75</v>
      </c>
      <c r="K10" s="4">
        <v>45970</v>
      </c>
      <c r="L10" s="5">
        <v>7.7249999999999996</v>
      </c>
      <c r="M10" s="5">
        <v>54</v>
      </c>
      <c r="O10" s="12">
        <v>45970</v>
      </c>
      <c r="P10" s="15">
        <v>64.8</v>
      </c>
    </row>
    <row r="11" spans="1:16" x14ac:dyDescent="0.3">
      <c r="A11" s="4">
        <v>45971</v>
      </c>
      <c r="B11" s="5">
        <v>22.175000000000001</v>
      </c>
      <c r="C11" s="5">
        <v>28.400000000000002</v>
      </c>
      <c r="E11" s="4">
        <v>45971</v>
      </c>
      <c r="F11" s="5">
        <v>25.1</v>
      </c>
      <c r="H11" s="4">
        <v>45971</v>
      </c>
      <c r="I11" s="6">
        <v>8</v>
      </c>
      <c r="K11" s="4">
        <v>45971</v>
      </c>
      <c r="L11" s="5">
        <v>0.5</v>
      </c>
      <c r="M11" s="5">
        <v>50</v>
      </c>
      <c r="O11" s="12">
        <v>45971</v>
      </c>
      <c r="P11" s="15">
        <v>70.224999999999994</v>
      </c>
    </row>
    <row r="12" spans="1:16" x14ac:dyDescent="0.3">
      <c r="A12" s="4">
        <v>45972</v>
      </c>
      <c r="B12" s="5">
        <v>22.224999999999998</v>
      </c>
      <c r="C12" s="5">
        <v>28.774999999999999</v>
      </c>
      <c r="E12" s="4">
        <v>45972</v>
      </c>
      <c r="F12" s="5">
        <v>25.174999999999997</v>
      </c>
      <c r="H12" s="4">
        <v>45972</v>
      </c>
      <c r="I12" s="6">
        <v>8</v>
      </c>
      <c r="K12" s="4">
        <v>45972</v>
      </c>
      <c r="L12" s="5">
        <v>0.42499999999999999</v>
      </c>
      <c r="M12" s="5">
        <v>39.550000000000004</v>
      </c>
      <c r="O12" s="12">
        <v>45972</v>
      </c>
      <c r="P12" s="15">
        <v>63.300000000000004</v>
      </c>
    </row>
    <row r="13" spans="1:16" x14ac:dyDescent="0.3">
      <c r="A13" s="4">
        <v>45973</v>
      </c>
      <c r="B13" s="5">
        <v>22.024999999999999</v>
      </c>
      <c r="C13" s="5">
        <v>28.575000000000003</v>
      </c>
      <c r="E13" s="4">
        <v>45973</v>
      </c>
      <c r="F13" s="5">
        <v>25.024999999999999</v>
      </c>
      <c r="H13" s="4">
        <v>45973</v>
      </c>
      <c r="I13" s="6">
        <v>7.5</v>
      </c>
      <c r="K13" s="4">
        <v>45973</v>
      </c>
      <c r="L13" s="5">
        <v>0.375</v>
      </c>
      <c r="M13" s="5">
        <v>29.050000000000004</v>
      </c>
      <c r="O13" s="12">
        <v>45973</v>
      </c>
      <c r="P13" s="15">
        <v>56.124999999999993</v>
      </c>
    </row>
    <row r="14" spans="1:16" x14ac:dyDescent="0.3">
      <c r="A14" s="4">
        <v>45974</v>
      </c>
      <c r="B14" s="5">
        <v>22.1</v>
      </c>
      <c r="C14" s="5">
        <v>28.4</v>
      </c>
      <c r="E14" s="4">
        <v>45974</v>
      </c>
      <c r="F14" s="5">
        <v>24.725000000000001</v>
      </c>
      <c r="H14" s="4">
        <v>45974</v>
      </c>
      <c r="I14" s="6">
        <v>7.75</v>
      </c>
      <c r="K14" s="4">
        <v>45974</v>
      </c>
      <c r="L14" s="5">
        <v>0.05</v>
      </c>
      <c r="M14" s="5">
        <v>21.8</v>
      </c>
      <c r="O14" s="12">
        <v>45974</v>
      </c>
      <c r="P14" s="15">
        <v>87.724999999999994</v>
      </c>
    </row>
    <row r="15" spans="1:16" x14ac:dyDescent="0.3">
      <c r="A15" s="4">
        <v>45975</v>
      </c>
      <c r="B15" s="5">
        <v>21.550000000000004</v>
      </c>
      <c r="C15" s="5">
        <v>28.05</v>
      </c>
      <c r="E15" s="4">
        <v>45975</v>
      </c>
      <c r="F15" s="5">
        <v>24.45</v>
      </c>
      <c r="H15" s="4">
        <v>45975</v>
      </c>
      <c r="I15" s="6">
        <v>7.25</v>
      </c>
      <c r="K15" s="4">
        <v>45975</v>
      </c>
      <c r="L15" s="5">
        <v>0.05</v>
      </c>
      <c r="M15" s="5">
        <v>10.5</v>
      </c>
      <c r="O15" s="12">
        <v>45975</v>
      </c>
      <c r="P15" s="15">
        <v>94.224999999999994</v>
      </c>
    </row>
    <row r="16" spans="1:16" x14ac:dyDescent="0.3">
      <c r="A16" s="4">
        <v>45976</v>
      </c>
      <c r="B16" s="5">
        <v>21.174999999999997</v>
      </c>
      <c r="C16" s="5">
        <v>28.25</v>
      </c>
      <c r="E16" s="4">
        <v>45976</v>
      </c>
      <c r="F16" s="5">
        <v>24.375</v>
      </c>
      <c r="H16" s="4">
        <v>45976</v>
      </c>
      <c r="I16" s="6">
        <v>8.25</v>
      </c>
      <c r="K16" s="4">
        <v>45976</v>
      </c>
      <c r="L16" s="5">
        <v>0.1</v>
      </c>
      <c r="M16" s="5">
        <v>11.3</v>
      </c>
      <c r="O16" s="12">
        <v>45976</v>
      </c>
      <c r="P16" s="15">
        <v>75.8</v>
      </c>
    </row>
    <row r="17" spans="1:16" x14ac:dyDescent="0.3">
      <c r="A17" s="4">
        <v>45977</v>
      </c>
      <c r="B17" s="5">
        <v>20.975000000000001</v>
      </c>
      <c r="C17" s="5">
        <v>28.4</v>
      </c>
      <c r="E17" s="4">
        <v>45977</v>
      </c>
      <c r="F17" s="5">
        <v>24.325000000000003</v>
      </c>
      <c r="H17" s="4">
        <v>45977</v>
      </c>
      <c r="I17" s="6">
        <v>8.5</v>
      </c>
      <c r="K17" s="4">
        <v>45977</v>
      </c>
      <c r="L17" s="5">
        <v>0.05</v>
      </c>
      <c r="M17" s="5">
        <v>12.900000000000002</v>
      </c>
      <c r="O17" s="12">
        <v>45977</v>
      </c>
      <c r="P17" s="15">
        <v>51.85</v>
      </c>
    </row>
    <row r="18" spans="1:16" x14ac:dyDescent="0.3">
      <c r="A18" s="4">
        <v>45978</v>
      </c>
      <c r="B18" s="5">
        <v>20.774999999999999</v>
      </c>
      <c r="C18" s="5">
        <v>28.275000000000002</v>
      </c>
      <c r="E18" s="4">
        <v>45978</v>
      </c>
      <c r="F18" s="5">
        <v>24.274999999999999</v>
      </c>
      <c r="H18" s="4">
        <v>45978</v>
      </c>
      <c r="I18" s="6">
        <v>8.75</v>
      </c>
      <c r="K18" s="4">
        <v>45978</v>
      </c>
      <c r="L18" s="5">
        <v>2.5000000000000001E-2</v>
      </c>
      <c r="M18" s="5">
        <v>16.925000000000001</v>
      </c>
      <c r="O18" s="13">
        <v>45978</v>
      </c>
      <c r="P18" s="16">
        <v>36.775000000000006</v>
      </c>
    </row>
    <row r="23" spans="1:16" x14ac:dyDescent="0.3">
      <c r="N23" s="2"/>
    </row>
    <row r="24" spans="1:16" x14ac:dyDescent="0.3">
      <c r="A24" s="3" t="s">
        <v>0</v>
      </c>
      <c r="B24" t="s">
        <v>40</v>
      </c>
      <c r="D24" t="s">
        <v>48</v>
      </c>
      <c r="E24" s="3" t="s">
        <v>0</v>
      </c>
      <c r="F24" t="s">
        <v>41</v>
      </c>
      <c r="G24" s="5">
        <f>$F$25</f>
        <v>74.075000000000003</v>
      </c>
      <c r="H24" s="6">
        <f>$I$4</f>
        <v>8.75</v>
      </c>
      <c r="K24" s="3" t="s">
        <v>0</v>
      </c>
      <c r="L24" t="s">
        <v>45</v>
      </c>
      <c r="M24" t="s">
        <v>44</v>
      </c>
      <c r="N24" s="2"/>
    </row>
    <row r="25" spans="1:16" x14ac:dyDescent="0.3">
      <c r="A25" s="4">
        <v>45964</v>
      </c>
      <c r="B25" s="5">
        <v>17.574999999999999</v>
      </c>
      <c r="D25">
        <f>DAY(E25)</f>
        <v>3</v>
      </c>
      <c r="E25" s="4">
        <v>45964</v>
      </c>
      <c r="F25" s="5">
        <v>74.075000000000003</v>
      </c>
      <c r="G25" s="5">
        <f>100-G24</f>
        <v>25.924999999999997</v>
      </c>
      <c r="H25">
        <f>10-H24</f>
        <v>1.25</v>
      </c>
      <c r="K25" s="4">
        <v>45964</v>
      </c>
      <c r="L25" s="2">
        <v>0.2522800925925926</v>
      </c>
      <c r="M25" s="2">
        <v>0.74798611111111113</v>
      </c>
      <c r="N25" s="7">
        <f>(HOUR($L$25)+MINUTE($L$25)/60)</f>
        <v>6.05</v>
      </c>
      <c r="O25" s="7">
        <f>(HOUR($M$25)+MINUTE($M$25)/60)</f>
        <v>17.95</v>
      </c>
    </row>
    <row r="26" spans="1:16" x14ac:dyDescent="0.3">
      <c r="A26" s="4">
        <v>45965</v>
      </c>
      <c r="B26" s="5">
        <v>18</v>
      </c>
      <c r="D26">
        <f t="shared" ref="D26:D39" si="0">DAY(E26)</f>
        <v>4</v>
      </c>
      <c r="E26" s="4">
        <v>45965</v>
      </c>
      <c r="F26" s="5">
        <v>75.025000000000006</v>
      </c>
      <c r="G26">
        <f>100</f>
        <v>100</v>
      </c>
      <c r="H26">
        <v>10</v>
      </c>
      <c r="K26" s="4">
        <v>45965</v>
      </c>
      <c r="L26" s="2">
        <v>0.2525</v>
      </c>
      <c r="M26" s="2">
        <v>0.74782407407407403</v>
      </c>
      <c r="N26" s="7">
        <f>24-N25</f>
        <v>17.95</v>
      </c>
      <c r="O26" s="7">
        <f>24-O25</f>
        <v>6.0500000000000007</v>
      </c>
    </row>
    <row r="27" spans="1:16" x14ac:dyDescent="0.3">
      <c r="A27" s="4">
        <v>45966</v>
      </c>
      <c r="B27" s="5">
        <v>15.4</v>
      </c>
      <c r="D27">
        <f t="shared" si="0"/>
        <v>5</v>
      </c>
      <c r="E27" s="4">
        <v>45966</v>
      </c>
      <c r="F27" s="5">
        <v>75.775000000000006</v>
      </c>
      <c r="K27" s="4">
        <v>45966</v>
      </c>
      <c r="L27" s="2">
        <v>0.25271990740740741</v>
      </c>
      <c r="M27" s="2">
        <v>0.74766203703703704</v>
      </c>
      <c r="N27" s="7">
        <f>24</f>
        <v>24</v>
      </c>
      <c r="O27">
        <f>24</f>
        <v>24</v>
      </c>
    </row>
    <row r="28" spans="1:16" x14ac:dyDescent="0.3">
      <c r="A28" s="4">
        <v>45967</v>
      </c>
      <c r="B28" s="5">
        <v>16.3</v>
      </c>
      <c r="D28">
        <f t="shared" si="0"/>
        <v>6</v>
      </c>
      <c r="E28" s="4">
        <v>45967</v>
      </c>
      <c r="F28" s="5">
        <v>77.974999999999994</v>
      </c>
      <c r="K28" s="4">
        <v>45967</v>
      </c>
      <c r="L28" s="2">
        <v>0.25295138888888891</v>
      </c>
      <c r="M28" s="2">
        <v>0.74752314814814813</v>
      </c>
    </row>
    <row r="29" spans="1:16" x14ac:dyDescent="0.3">
      <c r="A29" s="4">
        <v>45968</v>
      </c>
      <c r="B29" s="5">
        <v>15.125</v>
      </c>
      <c r="D29">
        <f t="shared" si="0"/>
        <v>7</v>
      </c>
      <c r="E29" s="4">
        <v>45968</v>
      </c>
      <c r="F29" s="5">
        <v>76.175000000000011</v>
      </c>
      <c r="K29" s="4">
        <v>45968</v>
      </c>
      <c r="L29" s="2">
        <v>0.25319444444444444</v>
      </c>
      <c r="M29" s="2">
        <v>0.74738425925925922</v>
      </c>
    </row>
    <row r="30" spans="1:16" x14ac:dyDescent="0.3">
      <c r="A30" s="4">
        <v>45969</v>
      </c>
      <c r="B30" s="5">
        <v>14.850000000000001</v>
      </c>
      <c r="D30">
        <f t="shared" si="0"/>
        <v>8</v>
      </c>
      <c r="E30" s="4">
        <v>45969</v>
      </c>
      <c r="F30" s="5">
        <v>75.699999999999989</v>
      </c>
      <c r="K30" s="4">
        <v>45969</v>
      </c>
      <c r="L30" s="2">
        <v>0.25344907407407408</v>
      </c>
      <c r="M30" s="2">
        <v>0.7472685185185185</v>
      </c>
    </row>
    <row r="31" spans="1:16" x14ac:dyDescent="0.3">
      <c r="A31" s="4">
        <v>45970</v>
      </c>
      <c r="B31" s="5">
        <v>14.350000000000001</v>
      </c>
      <c r="D31">
        <f t="shared" si="0"/>
        <v>9</v>
      </c>
      <c r="E31" s="4">
        <v>45970</v>
      </c>
      <c r="F31" s="5">
        <v>73.900000000000006</v>
      </c>
      <c r="K31" s="4">
        <v>45970</v>
      </c>
      <c r="L31" s="2">
        <v>0.25370370370370371</v>
      </c>
      <c r="M31" s="2">
        <v>0.74715277777777778</v>
      </c>
    </row>
    <row r="32" spans="1:16" x14ac:dyDescent="0.3">
      <c r="A32" s="4">
        <v>45971</v>
      </c>
      <c r="B32" s="5">
        <v>13.524999999999999</v>
      </c>
      <c r="D32">
        <f t="shared" si="0"/>
        <v>10</v>
      </c>
      <c r="E32" s="4">
        <v>45971</v>
      </c>
      <c r="F32" s="5">
        <v>69.900000000000006</v>
      </c>
      <c r="K32" s="4">
        <v>45971</v>
      </c>
      <c r="L32" s="2">
        <v>0.25395833333333334</v>
      </c>
      <c r="M32" s="2">
        <v>0.74706018518518513</v>
      </c>
    </row>
    <row r="33" spans="1:13" x14ac:dyDescent="0.3">
      <c r="A33" s="4">
        <v>45972</v>
      </c>
      <c r="B33" s="5">
        <v>13.125</v>
      </c>
      <c r="D33">
        <f t="shared" si="0"/>
        <v>11</v>
      </c>
      <c r="E33" s="4">
        <v>45972</v>
      </c>
      <c r="F33" s="5">
        <v>70.150000000000006</v>
      </c>
      <c r="K33" s="4">
        <v>45972</v>
      </c>
      <c r="L33" s="2">
        <v>0.25422453703703701</v>
      </c>
      <c r="M33" s="2">
        <v>0.74697916666666664</v>
      </c>
    </row>
    <row r="34" spans="1:13" x14ac:dyDescent="0.3">
      <c r="A34" s="4">
        <v>45973</v>
      </c>
      <c r="B34" s="5">
        <v>13.075000000000001</v>
      </c>
      <c r="D34">
        <f t="shared" si="0"/>
        <v>12</v>
      </c>
      <c r="E34" s="4">
        <v>45973</v>
      </c>
      <c r="F34" s="5">
        <v>70.325000000000003</v>
      </c>
      <c r="K34" s="4">
        <v>45973</v>
      </c>
      <c r="L34" s="2">
        <v>0.25450231481481483</v>
      </c>
      <c r="M34" s="2">
        <v>0.74689814814814814</v>
      </c>
    </row>
    <row r="35" spans="1:13" x14ac:dyDescent="0.3">
      <c r="A35" s="4">
        <v>45974</v>
      </c>
      <c r="B35" s="5">
        <v>16.125</v>
      </c>
      <c r="D35">
        <f t="shared" si="0"/>
        <v>13</v>
      </c>
      <c r="E35" s="4">
        <v>45974</v>
      </c>
      <c r="F35" s="5">
        <v>70.325000000000003</v>
      </c>
      <c r="K35" s="4">
        <v>45974</v>
      </c>
      <c r="L35" s="2">
        <v>0.25479166666666669</v>
      </c>
      <c r="M35" s="2">
        <v>0.74684027777777773</v>
      </c>
    </row>
    <row r="36" spans="1:13" x14ac:dyDescent="0.3">
      <c r="A36" s="4">
        <v>45975</v>
      </c>
      <c r="B36" s="5">
        <v>14.3</v>
      </c>
      <c r="D36">
        <f t="shared" si="0"/>
        <v>14</v>
      </c>
      <c r="E36" s="4">
        <v>45975</v>
      </c>
      <c r="F36" s="5">
        <v>70.125</v>
      </c>
      <c r="K36" s="4">
        <v>45975</v>
      </c>
      <c r="L36" s="2">
        <v>0.2550810185185185</v>
      </c>
      <c r="M36" s="2">
        <v>0.74679398148148146</v>
      </c>
    </row>
    <row r="37" spans="1:13" x14ac:dyDescent="0.3">
      <c r="A37" s="4">
        <v>45976</v>
      </c>
      <c r="B37" s="5">
        <v>13.7</v>
      </c>
      <c r="D37">
        <f t="shared" si="0"/>
        <v>15</v>
      </c>
      <c r="E37" s="4">
        <v>45976</v>
      </c>
      <c r="F37" s="5">
        <v>68.474999999999994</v>
      </c>
      <c r="K37" s="4">
        <v>45976</v>
      </c>
      <c r="L37" s="2">
        <v>0.25537037037037036</v>
      </c>
      <c r="M37" s="2">
        <v>0.74675925925925923</v>
      </c>
    </row>
    <row r="38" spans="1:13" x14ac:dyDescent="0.3">
      <c r="A38" s="4">
        <v>45977</v>
      </c>
      <c r="B38" s="5">
        <v>12.975000000000001</v>
      </c>
      <c r="D38">
        <f t="shared" si="0"/>
        <v>16</v>
      </c>
      <c r="E38" s="4">
        <v>45977</v>
      </c>
      <c r="F38" s="5">
        <v>66.575000000000003</v>
      </c>
      <c r="K38" s="4">
        <v>45977</v>
      </c>
      <c r="L38" s="2">
        <v>0.25568287037037035</v>
      </c>
      <c r="M38" s="2">
        <v>0.74673611111111116</v>
      </c>
    </row>
    <row r="39" spans="1:13" x14ac:dyDescent="0.3">
      <c r="A39" s="4">
        <v>45978</v>
      </c>
      <c r="B39" s="5">
        <v>13.55</v>
      </c>
      <c r="D39">
        <f t="shared" si="0"/>
        <v>17</v>
      </c>
      <c r="E39" s="4">
        <v>45978</v>
      </c>
      <c r="F39" s="5">
        <v>64.974999999999994</v>
      </c>
      <c r="K39" s="4">
        <v>45978</v>
      </c>
      <c r="L39" s="2">
        <v>0.25598379629629631</v>
      </c>
      <c r="M39" s="2">
        <v>0.74673611111111116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2EFCF-D6D5-4A65-B077-59C7FA75667B}">
  <sheetPr codeName="Sheet7"/>
  <dimension ref="A1:P39"/>
  <sheetViews>
    <sheetView topLeftCell="C1" zoomScale="81" zoomScaleNormal="99" workbookViewId="0">
      <selection activeCell="P4" sqref="P4"/>
    </sheetView>
  </sheetViews>
  <sheetFormatPr defaultRowHeight="14.4" x14ac:dyDescent="0.3"/>
  <cols>
    <col min="1" max="1" width="10.33203125" bestFit="1" customWidth="1"/>
    <col min="2" max="2" width="11.6640625" bestFit="1" customWidth="1"/>
    <col min="3" max="3" width="10.109375" bestFit="1" customWidth="1"/>
    <col min="5" max="5" width="10.33203125" bestFit="1" customWidth="1"/>
    <col min="6" max="6" width="12" bestFit="1" customWidth="1"/>
    <col min="8" max="8" width="10.33203125" bestFit="1" customWidth="1"/>
    <col min="9" max="9" width="10.6640625" bestFit="1" customWidth="1"/>
    <col min="11" max="11" width="10.33203125" bestFit="1" customWidth="1"/>
    <col min="12" max="12" width="11.88671875" bestFit="1" customWidth="1"/>
    <col min="13" max="13" width="11"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3" t="s">
        <v>31</v>
      </c>
      <c r="B1" t="s">
        <v>33</v>
      </c>
      <c r="E1" s="3" t="s">
        <v>31</v>
      </c>
      <c r="F1" t="s">
        <v>33</v>
      </c>
      <c r="H1" s="3" t="s">
        <v>31</v>
      </c>
      <c r="I1" t="s">
        <v>33</v>
      </c>
      <c r="K1" s="3" t="s">
        <v>31</v>
      </c>
      <c r="L1" t="s">
        <v>33</v>
      </c>
      <c r="O1" s="17" t="s">
        <v>31</v>
      </c>
      <c r="P1" s="18" t="s">
        <v>33</v>
      </c>
    </row>
    <row r="3" spans="1:16" x14ac:dyDescent="0.3">
      <c r="A3" s="3" t="s">
        <v>0</v>
      </c>
      <c r="B3" t="s">
        <v>36</v>
      </c>
      <c r="C3" t="s">
        <v>37</v>
      </c>
      <c r="E3" s="3" t="s">
        <v>0</v>
      </c>
      <c r="F3" t="s">
        <v>38</v>
      </c>
      <c r="H3" s="3" t="s">
        <v>0</v>
      </c>
      <c r="I3" t="s">
        <v>39</v>
      </c>
      <c r="K3" s="3" t="s">
        <v>0</v>
      </c>
      <c r="L3" t="s">
        <v>42</v>
      </c>
      <c r="M3" t="s">
        <v>43</v>
      </c>
      <c r="O3" s="9" t="s">
        <v>0</v>
      </c>
      <c r="P3" s="10" t="s">
        <v>49</v>
      </c>
    </row>
    <row r="4" spans="1:16" x14ac:dyDescent="0.3">
      <c r="A4" s="4">
        <v>45964</v>
      </c>
      <c r="B4" s="5">
        <v>26</v>
      </c>
      <c r="C4" s="5">
        <v>35</v>
      </c>
      <c r="E4" s="4">
        <v>45964</v>
      </c>
      <c r="F4" s="5">
        <v>29.7</v>
      </c>
      <c r="H4" s="4">
        <v>45964</v>
      </c>
      <c r="I4" s="6">
        <v>8</v>
      </c>
      <c r="K4" s="4">
        <v>45964</v>
      </c>
      <c r="L4" s="5">
        <v>5</v>
      </c>
      <c r="M4" s="5">
        <v>100</v>
      </c>
      <c r="O4" s="11">
        <v>45964</v>
      </c>
      <c r="P4" s="14">
        <v>58.1</v>
      </c>
    </row>
    <row r="5" spans="1:16" x14ac:dyDescent="0.3">
      <c r="A5" s="4">
        <v>45965</v>
      </c>
      <c r="B5" s="5">
        <v>27.6</v>
      </c>
      <c r="C5" s="5">
        <v>31.7</v>
      </c>
      <c r="E5" s="4">
        <v>45965</v>
      </c>
      <c r="F5" s="5">
        <v>29.2</v>
      </c>
      <c r="H5" s="4">
        <v>45965</v>
      </c>
      <c r="I5" s="6">
        <v>8</v>
      </c>
      <c r="K5" s="4">
        <v>45965</v>
      </c>
      <c r="L5" s="5">
        <v>10.4</v>
      </c>
      <c r="M5" s="5">
        <v>100</v>
      </c>
      <c r="O5" s="12">
        <v>45965</v>
      </c>
      <c r="P5" s="15">
        <v>65</v>
      </c>
    </row>
    <row r="6" spans="1:16" x14ac:dyDescent="0.3">
      <c r="A6" s="4">
        <v>45966</v>
      </c>
      <c r="B6" s="5">
        <v>27</v>
      </c>
      <c r="C6" s="5">
        <v>30.3</v>
      </c>
      <c r="E6" s="4">
        <v>45966</v>
      </c>
      <c r="F6" s="5">
        <v>28.5</v>
      </c>
      <c r="H6" s="4">
        <v>45966</v>
      </c>
      <c r="I6" s="6">
        <v>8</v>
      </c>
      <c r="K6" s="4">
        <v>45966</v>
      </c>
      <c r="L6" s="5">
        <v>1.1000000000000001</v>
      </c>
      <c r="M6" s="5">
        <v>74.2</v>
      </c>
      <c r="O6" s="12">
        <v>45966</v>
      </c>
      <c r="P6" s="15">
        <v>74.400000000000006</v>
      </c>
    </row>
    <row r="7" spans="1:16" x14ac:dyDescent="0.3">
      <c r="A7" s="4">
        <v>45967</v>
      </c>
      <c r="B7" s="5">
        <v>27.2</v>
      </c>
      <c r="C7" s="5">
        <v>29.6</v>
      </c>
      <c r="E7" s="4">
        <v>45967</v>
      </c>
      <c r="F7" s="5">
        <v>28.1</v>
      </c>
      <c r="H7" s="4">
        <v>45967</v>
      </c>
      <c r="I7" s="6">
        <v>7</v>
      </c>
      <c r="K7" s="4">
        <v>45967</v>
      </c>
      <c r="L7" s="5">
        <v>2.1</v>
      </c>
      <c r="M7" s="5">
        <v>77.400000000000006</v>
      </c>
      <c r="O7" s="12">
        <v>45967</v>
      </c>
      <c r="P7" s="15">
        <v>81.2</v>
      </c>
    </row>
    <row r="8" spans="1:16" x14ac:dyDescent="0.3">
      <c r="A8" s="4">
        <v>45968</v>
      </c>
      <c r="B8" s="5">
        <v>25.3</v>
      </c>
      <c r="C8" s="5">
        <v>29.5</v>
      </c>
      <c r="E8" s="4">
        <v>45968</v>
      </c>
      <c r="F8" s="5">
        <v>27.5</v>
      </c>
      <c r="H8" s="4">
        <v>45968</v>
      </c>
      <c r="I8" s="6">
        <v>8</v>
      </c>
      <c r="K8" s="4">
        <v>45968</v>
      </c>
      <c r="L8" s="5">
        <v>2.4</v>
      </c>
      <c r="M8" s="5">
        <v>54.8</v>
      </c>
      <c r="O8" s="12">
        <v>45968</v>
      </c>
      <c r="P8" s="15">
        <v>45.4</v>
      </c>
    </row>
    <row r="9" spans="1:16" x14ac:dyDescent="0.3">
      <c r="A9" s="4">
        <v>45969</v>
      </c>
      <c r="B9" s="5">
        <v>25.8</v>
      </c>
      <c r="C9" s="5">
        <v>29.9</v>
      </c>
      <c r="E9" s="4">
        <v>45969</v>
      </c>
      <c r="F9" s="5">
        <v>27.7</v>
      </c>
      <c r="H9" s="4">
        <v>45969</v>
      </c>
      <c r="I9" s="6">
        <v>9</v>
      </c>
      <c r="K9" s="4">
        <v>45969</v>
      </c>
      <c r="L9" s="5">
        <v>1.3</v>
      </c>
      <c r="M9" s="5">
        <v>38.700000000000003</v>
      </c>
      <c r="O9" s="12">
        <v>45969</v>
      </c>
      <c r="P9" s="15">
        <v>13.2</v>
      </c>
    </row>
    <row r="10" spans="1:16" x14ac:dyDescent="0.3">
      <c r="A10" s="4">
        <v>45970</v>
      </c>
      <c r="B10" s="5">
        <v>23.6</v>
      </c>
      <c r="C10" s="5">
        <v>28.9</v>
      </c>
      <c r="E10" s="4">
        <v>45970</v>
      </c>
      <c r="F10" s="5">
        <v>26.5</v>
      </c>
      <c r="H10" s="4">
        <v>45970</v>
      </c>
      <c r="I10" s="6">
        <v>8</v>
      </c>
      <c r="K10" s="4">
        <v>45970</v>
      </c>
      <c r="L10" s="5">
        <v>0</v>
      </c>
      <c r="M10" s="5">
        <v>29</v>
      </c>
      <c r="O10" s="12">
        <v>45970</v>
      </c>
      <c r="P10" s="15">
        <v>47.2</v>
      </c>
    </row>
    <row r="11" spans="1:16" x14ac:dyDescent="0.3">
      <c r="A11" s="4">
        <v>45971</v>
      </c>
      <c r="B11" s="5">
        <v>23.4</v>
      </c>
      <c r="C11" s="5">
        <v>28.5</v>
      </c>
      <c r="E11" s="4">
        <v>45971</v>
      </c>
      <c r="F11" s="5">
        <v>26.1</v>
      </c>
      <c r="H11" s="4">
        <v>45971</v>
      </c>
      <c r="I11" s="6">
        <v>8</v>
      </c>
      <c r="K11" s="4">
        <v>45971</v>
      </c>
      <c r="L11" s="5">
        <v>0</v>
      </c>
      <c r="M11" s="5">
        <v>16.100000000000001</v>
      </c>
      <c r="O11" s="12">
        <v>45971</v>
      </c>
      <c r="P11" s="15">
        <v>66.8</v>
      </c>
    </row>
    <row r="12" spans="1:16" x14ac:dyDescent="0.3">
      <c r="A12" s="4">
        <v>45972</v>
      </c>
      <c r="B12" s="5">
        <v>23.2</v>
      </c>
      <c r="C12" s="5">
        <v>28.8</v>
      </c>
      <c r="E12" s="4">
        <v>45972</v>
      </c>
      <c r="F12" s="5">
        <v>26</v>
      </c>
      <c r="H12" s="4">
        <v>45972</v>
      </c>
      <c r="I12" s="6">
        <v>8</v>
      </c>
      <c r="K12" s="4">
        <v>45972</v>
      </c>
      <c r="L12" s="5">
        <v>0</v>
      </c>
      <c r="M12" s="5">
        <v>6.5</v>
      </c>
      <c r="O12" s="12">
        <v>45972</v>
      </c>
      <c r="P12" s="15">
        <v>32.200000000000003</v>
      </c>
    </row>
    <row r="13" spans="1:16" x14ac:dyDescent="0.3">
      <c r="A13" s="4">
        <v>45973</v>
      </c>
      <c r="B13" s="5">
        <v>23.1</v>
      </c>
      <c r="C13" s="5">
        <v>28.4</v>
      </c>
      <c r="E13" s="4">
        <v>45973</v>
      </c>
      <c r="F13" s="5">
        <v>25.9</v>
      </c>
      <c r="H13" s="4">
        <v>45973</v>
      </c>
      <c r="I13" s="6">
        <v>8</v>
      </c>
      <c r="K13" s="4">
        <v>45973</v>
      </c>
      <c r="L13" s="5">
        <v>0</v>
      </c>
      <c r="M13" s="5">
        <v>0</v>
      </c>
      <c r="O13" s="12">
        <v>45973</v>
      </c>
      <c r="P13" s="15">
        <v>26</v>
      </c>
    </row>
    <row r="14" spans="1:16" x14ac:dyDescent="0.3">
      <c r="A14" s="4">
        <v>45974</v>
      </c>
      <c r="B14" s="5">
        <v>23.4</v>
      </c>
      <c r="C14" s="5">
        <v>28.2</v>
      </c>
      <c r="E14" s="4">
        <v>45974</v>
      </c>
      <c r="F14" s="5">
        <v>25.9</v>
      </c>
      <c r="H14" s="4">
        <v>45974</v>
      </c>
      <c r="I14" s="6">
        <v>8</v>
      </c>
      <c r="K14" s="4">
        <v>45974</v>
      </c>
      <c r="L14" s="5">
        <v>0</v>
      </c>
      <c r="M14" s="5">
        <v>9.6999999999999993</v>
      </c>
      <c r="O14" s="12">
        <v>45974</v>
      </c>
      <c r="P14" s="15">
        <v>91.1</v>
      </c>
    </row>
    <row r="15" spans="1:16" x14ac:dyDescent="0.3">
      <c r="A15" s="4">
        <v>45975</v>
      </c>
      <c r="B15" s="5">
        <v>22.8</v>
      </c>
      <c r="C15" s="5">
        <v>27.9</v>
      </c>
      <c r="E15" s="4">
        <v>45975</v>
      </c>
      <c r="F15" s="5">
        <v>25.5</v>
      </c>
      <c r="H15" s="4">
        <v>45975</v>
      </c>
      <c r="I15" s="6">
        <v>7</v>
      </c>
      <c r="K15" s="4">
        <v>45975</v>
      </c>
      <c r="L15" s="5">
        <v>0</v>
      </c>
      <c r="M15" s="5">
        <v>6.5</v>
      </c>
      <c r="O15" s="12">
        <v>45975</v>
      </c>
      <c r="P15" s="15">
        <v>98.5</v>
      </c>
    </row>
    <row r="16" spans="1:16" x14ac:dyDescent="0.3">
      <c r="A16" s="4">
        <v>45976</v>
      </c>
      <c r="B16" s="5">
        <v>22.6</v>
      </c>
      <c r="C16" s="5">
        <v>27.8</v>
      </c>
      <c r="E16" s="4">
        <v>45976</v>
      </c>
      <c r="F16" s="5">
        <v>25.4</v>
      </c>
      <c r="H16" s="4">
        <v>45976</v>
      </c>
      <c r="I16" s="6">
        <v>8</v>
      </c>
      <c r="K16" s="4">
        <v>45976</v>
      </c>
      <c r="L16" s="5">
        <v>0.1</v>
      </c>
      <c r="M16" s="5">
        <v>16.100000000000001</v>
      </c>
      <c r="O16" s="12">
        <v>45976</v>
      </c>
      <c r="P16" s="15">
        <v>96.3</v>
      </c>
    </row>
    <row r="17" spans="1:16" x14ac:dyDescent="0.3">
      <c r="A17" s="4">
        <v>45977</v>
      </c>
      <c r="B17" s="5">
        <v>22.3</v>
      </c>
      <c r="C17" s="5">
        <v>28.2</v>
      </c>
      <c r="E17" s="4">
        <v>45977</v>
      </c>
      <c r="F17" s="5">
        <v>25.4</v>
      </c>
      <c r="H17" s="4">
        <v>45977</v>
      </c>
      <c r="I17" s="6">
        <v>8</v>
      </c>
      <c r="K17" s="4">
        <v>45977</v>
      </c>
      <c r="L17" s="5">
        <v>0</v>
      </c>
      <c r="M17" s="5">
        <v>16.100000000000001</v>
      </c>
      <c r="O17" s="12">
        <v>45977</v>
      </c>
      <c r="P17" s="15">
        <v>13.4</v>
      </c>
    </row>
    <row r="18" spans="1:16" x14ac:dyDescent="0.3">
      <c r="A18" s="4">
        <v>45978</v>
      </c>
      <c r="B18" s="5">
        <v>21.7</v>
      </c>
      <c r="C18" s="5">
        <v>27.3</v>
      </c>
      <c r="E18" s="4">
        <v>45978</v>
      </c>
      <c r="F18" s="5">
        <v>25</v>
      </c>
      <c r="H18" s="4">
        <v>45978</v>
      </c>
      <c r="I18" s="6">
        <v>8</v>
      </c>
      <c r="K18" s="4">
        <v>45978</v>
      </c>
      <c r="L18" s="5">
        <v>0</v>
      </c>
      <c r="M18" s="5">
        <v>16.100000000000001</v>
      </c>
      <c r="O18" s="13">
        <v>45978</v>
      </c>
      <c r="P18" s="16">
        <v>26.1</v>
      </c>
    </row>
    <row r="22" spans="1:16" x14ac:dyDescent="0.3">
      <c r="A22" s="3" t="s">
        <v>31</v>
      </c>
      <c r="B22" t="s">
        <v>33</v>
      </c>
      <c r="E22" s="3" t="s">
        <v>31</v>
      </c>
      <c r="F22" t="s">
        <v>33</v>
      </c>
      <c r="K22" s="3" t="s">
        <v>31</v>
      </c>
      <c r="L22" t="s">
        <v>33</v>
      </c>
    </row>
    <row r="23" spans="1:16" x14ac:dyDescent="0.3">
      <c r="N23" s="2"/>
    </row>
    <row r="24" spans="1:16" x14ac:dyDescent="0.3">
      <c r="A24" s="3" t="s">
        <v>0</v>
      </c>
      <c r="B24" t="s">
        <v>40</v>
      </c>
      <c r="E24" s="3" t="s">
        <v>0</v>
      </c>
      <c r="F24" t="s">
        <v>41</v>
      </c>
      <c r="G24" s="5">
        <f>$F$25</f>
        <v>78.900000000000006</v>
      </c>
      <c r="H24" s="6">
        <f>$I$4</f>
        <v>8</v>
      </c>
      <c r="K24" s="3" t="s">
        <v>0</v>
      </c>
      <c r="L24" t="s">
        <v>45</v>
      </c>
      <c r="M24" t="s">
        <v>44</v>
      </c>
      <c r="N24" s="2"/>
    </row>
    <row r="25" spans="1:16" x14ac:dyDescent="0.3">
      <c r="A25" s="4">
        <v>45964</v>
      </c>
      <c r="B25" s="5">
        <v>14.8</v>
      </c>
      <c r="E25" s="4">
        <v>45964</v>
      </c>
      <c r="F25" s="5">
        <v>78.900000000000006</v>
      </c>
      <c r="G25" s="5">
        <f>100-G24</f>
        <v>21.099999999999994</v>
      </c>
      <c r="H25">
        <f>10-H24</f>
        <v>2</v>
      </c>
      <c r="K25" s="4">
        <v>45964</v>
      </c>
      <c r="L25" s="2">
        <v>0.2522800925925926</v>
      </c>
      <c r="M25" s="2">
        <v>0.73716435185185181</v>
      </c>
      <c r="N25" s="7">
        <f>(HOUR($L$25)+MINUTE($L$25)/60)</f>
        <v>6.05</v>
      </c>
      <c r="O25" s="7">
        <f>(HOUR($M$25)+MINUTE($M$25)/60)</f>
        <v>17.683333333333334</v>
      </c>
    </row>
    <row r="26" spans="1:16" x14ac:dyDescent="0.3">
      <c r="A26" s="4">
        <v>45965</v>
      </c>
      <c r="B26" s="5">
        <v>19.399999999999999</v>
      </c>
      <c r="E26" s="4">
        <v>45965</v>
      </c>
      <c r="F26" s="5">
        <v>69.3</v>
      </c>
      <c r="G26">
        <f>100</f>
        <v>100</v>
      </c>
      <c r="H26">
        <v>10</v>
      </c>
      <c r="K26" s="4">
        <v>45965</v>
      </c>
      <c r="L26" s="2">
        <v>0.2525</v>
      </c>
      <c r="M26" s="2">
        <v>0.73695601851851855</v>
      </c>
      <c r="N26" s="7">
        <f>24-N25</f>
        <v>17.95</v>
      </c>
      <c r="O26" s="7">
        <f>24-O25</f>
        <v>6.3166666666666664</v>
      </c>
    </row>
    <row r="27" spans="1:16" x14ac:dyDescent="0.3">
      <c r="A27" s="4">
        <v>45966</v>
      </c>
      <c r="B27" s="5">
        <v>14.8</v>
      </c>
      <c r="E27" s="4">
        <v>45966</v>
      </c>
      <c r="F27" s="5">
        <v>69.599999999999994</v>
      </c>
      <c r="K27" s="4">
        <v>45966</v>
      </c>
      <c r="L27" s="2">
        <v>0.25271990740740741</v>
      </c>
      <c r="M27" s="2">
        <v>0.73677083333333337</v>
      </c>
      <c r="N27" s="7">
        <f>24</f>
        <v>24</v>
      </c>
      <c r="O27" s="7">
        <v>24</v>
      </c>
    </row>
    <row r="28" spans="1:16" x14ac:dyDescent="0.3">
      <c r="A28" s="4">
        <v>45967</v>
      </c>
      <c r="B28" s="5">
        <v>14.4</v>
      </c>
      <c r="E28" s="4">
        <v>45967</v>
      </c>
      <c r="F28" s="5">
        <v>71.5</v>
      </c>
      <c r="K28" s="4">
        <v>45967</v>
      </c>
      <c r="L28" s="2">
        <v>0.25295138888888891</v>
      </c>
      <c r="M28" s="2">
        <v>0.7365856481481482</v>
      </c>
    </row>
    <row r="29" spans="1:16" x14ac:dyDescent="0.3">
      <c r="A29" s="4">
        <v>45968</v>
      </c>
      <c r="B29" s="5">
        <v>16.600000000000001</v>
      </c>
      <c r="E29" s="4">
        <v>45968</v>
      </c>
      <c r="F29" s="5">
        <v>72.400000000000006</v>
      </c>
      <c r="K29" s="4">
        <v>45968</v>
      </c>
      <c r="L29" s="2">
        <v>0.25319444444444444</v>
      </c>
      <c r="M29" s="2">
        <v>0.7364236111111111</v>
      </c>
    </row>
    <row r="30" spans="1:16" x14ac:dyDescent="0.3">
      <c r="A30" s="4">
        <v>45969</v>
      </c>
      <c r="B30" s="5">
        <v>26.3</v>
      </c>
      <c r="E30" s="4">
        <v>45969</v>
      </c>
      <c r="F30" s="5">
        <v>68</v>
      </c>
      <c r="K30" s="4">
        <v>45969</v>
      </c>
      <c r="L30" s="2">
        <v>0.25344907407407408</v>
      </c>
      <c r="M30" s="2">
        <v>0.73626157407407411</v>
      </c>
    </row>
    <row r="31" spans="1:16" x14ac:dyDescent="0.3">
      <c r="A31" s="4">
        <v>45970</v>
      </c>
      <c r="B31" s="5">
        <v>23</v>
      </c>
      <c r="E31" s="4">
        <v>45970</v>
      </c>
      <c r="F31" s="5">
        <v>62.8</v>
      </c>
      <c r="K31" s="4">
        <v>45970</v>
      </c>
      <c r="L31" s="2">
        <v>0.25370370370370371</v>
      </c>
      <c r="M31" s="2">
        <v>0.7361226851851852</v>
      </c>
    </row>
    <row r="32" spans="1:16" x14ac:dyDescent="0.3">
      <c r="A32" s="4">
        <v>45971</v>
      </c>
      <c r="B32" s="5">
        <v>22</v>
      </c>
      <c r="E32" s="4">
        <v>45971</v>
      </c>
      <c r="F32" s="5">
        <v>64.3</v>
      </c>
      <c r="K32" s="4">
        <v>45971</v>
      </c>
      <c r="L32" s="2">
        <v>0.25395833333333334</v>
      </c>
      <c r="M32" s="2">
        <v>0.73599537037037033</v>
      </c>
    </row>
    <row r="33" spans="1:13" x14ac:dyDescent="0.3">
      <c r="A33" s="4">
        <v>45972</v>
      </c>
      <c r="B33" s="5">
        <v>20.5</v>
      </c>
      <c r="E33" s="4">
        <v>45972</v>
      </c>
      <c r="F33" s="5">
        <v>60.5</v>
      </c>
      <c r="K33" s="4">
        <v>45972</v>
      </c>
      <c r="L33" s="2">
        <v>0.25422453703703701</v>
      </c>
      <c r="M33" s="2">
        <v>0.73587962962962961</v>
      </c>
    </row>
    <row r="34" spans="1:13" x14ac:dyDescent="0.3">
      <c r="A34" s="4">
        <v>45973</v>
      </c>
      <c r="B34" s="5">
        <v>22</v>
      </c>
      <c r="E34" s="4">
        <v>45973</v>
      </c>
      <c r="F34" s="5">
        <v>60.1</v>
      </c>
      <c r="K34" s="4">
        <v>45973</v>
      </c>
      <c r="L34" s="2">
        <v>0.25450231481481483</v>
      </c>
      <c r="M34" s="2">
        <v>0.73577546296296292</v>
      </c>
    </row>
    <row r="35" spans="1:13" x14ac:dyDescent="0.3">
      <c r="A35" s="4">
        <v>45974</v>
      </c>
      <c r="B35" s="5">
        <v>22</v>
      </c>
      <c r="E35" s="4">
        <v>45974</v>
      </c>
      <c r="F35" s="5">
        <v>62</v>
      </c>
      <c r="K35" s="4">
        <v>45974</v>
      </c>
      <c r="L35" s="2">
        <v>0.25479166666666669</v>
      </c>
      <c r="M35" s="2">
        <v>0.73568287037037039</v>
      </c>
    </row>
    <row r="36" spans="1:13" x14ac:dyDescent="0.3">
      <c r="A36" s="4">
        <v>45975</v>
      </c>
      <c r="B36" s="5">
        <v>19.8</v>
      </c>
      <c r="E36" s="4">
        <v>45975</v>
      </c>
      <c r="F36" s="5">
        <v>64.3</v>
      </c>
      <c r="K36" s="4">
        <v>45975</v>
      </c>
      <c r="L36" s="2">
        <v>0.2550810185185185</v>
      </c>
      <c r="M36" s="2">
        <v>0.7356018518518519</v>
      </c>
    </row>
    <row r="37" spans="1:13" x14ac:dyDescent="0.3">
      <c r="A37" s="4">
        <v>45976</v>
      </c>
      <c r="B37" s="5">
        <v>18.399999999999999</v>
      </c>
      <c r="E37" s="4">
        <v>45976</v>
      </c>
      <c r="F37" s="5">
        <v>63</v>
      </c>
      <c r="K37" s="4">
        <v>45976</v>
      </c>
      <c r="L37" s="2">
        <v>0.25537037037037036</v>
      </c>
      <c r="M37" s="2">
        <v>0.73554398148148148</v>
      </c>
    </row>
    <row r="38" spans="1:13" x14ac:dyDescent="0.3">
      <c r="A38" s="4">
        <v>45977</v>
      </c>
      <c r="B38" s="5">
        <v>19.100000000000001</v>
      </c>
      <c r="E38" s="4">
        <v>45977</v>
      </c>
      <c r="F38" s="5">
        <v>56.8</v>
      </c>
      <c r="K38" s="4">
        <v>45977</v>
      </c>
      <c r="L38" s="2">
        <v>0.25568287037037035</v>
      </c>
      <c r="M38" s="2">
        <v>0.73548611111111106</v>
      </c>
    </row>
    <row r="39" spans="1:13" x14ac:dyDescent="0.3">
      <c r="A39" s="4">
        <v>45978</v>
      </c>
      <c r="B39" s="5">
        <v>20.5</v>
      </c>
      <c r="E39" s="4">
        <v>45978</v>
      </c>
      <c r="F39" s="5">
        <v>59.3</v>
      </c>
      <c r="K39" s="4">
        <v>45978</v>
      </c>
      <c r="L39" s="2">
        <v>0.25598379629629631</v>
      </c>
      <c r="M39" s="2">
        <v>0.73545138888888884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3B70-4A91-441D-8C98-627B4D245126}">
  <sheetPr codeName="Sheet8"/>
  <dimension ref="A1:P39"/>
  <sheetViews>
    <sheetView zoomScale="74" zoomScaleNormal="99" workbookViewId="0">
      <selection activeCell="P4" sqref="P4"/>
    </sheetView>
  </sheetViews>
  <sheetFormatPr defaultRowHeight="14.4" x14ac:dyDescent="0.3"/>
  <cols>
    <col min="1" max="1" width="10.6640625" bestFit="1" customWidth="1"/>
    <col min="2" max="2" width="13.88671875" bestFit="1" customWidth="1"/>
    <col min="3" max="3" width="10.33203125" bestFit="1" customWidth="1"/>
    <col min="5" max="5" width="10.6640625" bestFit="1" customWidth="1"/>
    <col min="6" max="6" width="13.88671875" bestFit="1" customWidth="1"/>
    <col min="8" max="8" width="10.6640625" bestFit="1" customWidth="1"/>
    <col min="9" max="9" width="13.88671875" bestFit="1" customWidth="1"/>
    <col min="11" max="11" width="10.6640625" bestFit="1" customWidth="1"/>
    <col min="12" max="12" width="13.88671875" bestFit="1" customWidth="1"/>
    <col min="13" max="13" width="11.21875" bestFit="1" customWidth="1"/>
    <col min="14" max="14" width="24" bestFit="1" customWidth="1"/>
    <col min="15" max="15" width="10.6640625" bestFit="1" customWidth="1"/>
    <col min="16" max="16" width="13.8867187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3" t="s">
        <v>31</v>
      </c>
      <c r="B1" t="s">
        <v>32</v>
      </c>
      <c r="E1" s="3" t="s">
        <v>31</v>
      </c>
      <c r="F1" t="s">
        <v>32</v>
      </c>
      <c r="H1" s="3" t="s">
        <v>31</v>
      </c>
      <c r="I1" t="s">
        <v>32</v>
      </c>
      <c r="K1" s="3" t="s">
        <v>31</v>
      </c>
      <c r="L1" t="s">
        <v>32</v>
      </c>
      <c r="O1" s="17" t="s">
        <v>31</v>
      </c>
      <c r="P1" s="18" t="s">
        <v>32</v>
      </c>
    </row>
    <row r="3" spans="1:16" x14ac:dyDescent="0.3">
      <c r="A3" s="3" t="s">
        <v>0</v>
      </c>
      <c r="B3" t="s">
        <v>36</v>
      </c>
      <c r="C3" t="s">
        <v>37</v>
      </c>
      <c r="E3" s="3" t="s">
        <v>0</v>
      </c>
      <c r="F3" t="s">
        <v>38</v>
      </c>
      <c r="H3" s="3" t="s">
        <v>0</v>
      </c>
      <c r="I3" t="s">
        <v>39</v>
      </c>
      <c r="K3" s="3" t="s">
        <v>0</v>
      </c>
      <c r="L3" t="s">
        <v>42</v>
      </c>
      <c r="M3" t="s">
        <v>43</v>
      </c>
      <c r="O3" s="9" t="s">
        <v>0</v>
      </c>
      <c r="P3" s="10" t="s">
        <v>49</v>
      </c>
    </row>
    <row r="4" spans="1:16" x14ac:dyDescent="0.3">
      <c r="A4" s="4">
        <v>45964</v>
      </c>
      <c r="B4" s="5">
        <v>22</v>
      </c>
      <c r="C4" s="5">
        <v>33</v>
      </c>
      <c r="E4" s="4">
        <v>45964</v>
      </c>
      <c r="F4" s="5">
        <v>26.1</v>
      </c>
      <c r="H4" s="4">
        <v>45964</v>
      </c>
      <c r="I4" s="6">
        <v>9</v>
      </c>
      <c r="K4" s="4">
        <v>45964</v>
      </c>
      <c r="L4" s="5">
        <v>1.2</v>
      </c>
      <c r="M4" s="5">
        <v>100</v>
      </c>
      <c r="O4" s="11">
        <v>45964</v>
      </c>
      <c r="P4" s="14">
        <v>47.7</v>
      </c>
    </row>
    <row r="5" spans="1:16" x14ac:dyDescent="0.3">
      <c r="A5" s="4">
        <v>45965</v>
      </c>
      <c r="B5" s="5">
        <v>21.2</v>
      </c>
      <c r="C5" s="5">
        <v>28.3</v>
      </c>
      <c r="E5" s="4">
        <v>45965</v>
      </c>
      <c r="F5" s="5">
        <v>24</v>
      </c>
      <c r="H5" s="4">
        <v>45965</v>
      </c>
      <c r="I5" s="6">
        <v>8</v>
      </c>
      <c r="K5" s="4">
        <v>45965</v>
      </c>
      <c r="L5" s="5">
        <v>2.6</v>
      </c>
      <c r="M5" s="5">
        <v>96.8</v>
      </c>
      <c r="O5" s="12">
        <v>45965</v>
      </c>
      <c r="P5" s="15">
        <v>90.2</v>
      </c>
    </row>
    <row r="6" spans="1:16" x14ac:dyDescent="0.3">
      <c r="A6" s="4">
        <v>45966</v>
      </c>
      <c r="B6" s="5">
        <v>21.5</v>
      </c>
      <c r="C6" s="5">
        <v>29.4</v>
      </c>
      <c r="E6" s="4">
        <v>45966</v>
      </c>
      <c r="F6" s="5">
        <v>24.4</v>
      </c>
      <c r="H6" s="4">
        <v>45966</v>
      </c>
      <c r="I6" s="6">
        <v>9</v>
      </c>
      <c r="K6" s="4">
        <v>45966</v>
      </c>
      <c r="L6" s="5">
        <v>6.1</v>
      </c>
      <c r="M6" s="5">
        <v>96.8</v>
      </c>
      <c r="O6" s="12">
        <v>45966</v>
      </c>
      <c r="P6" s="15">
        <v>55.8</v>
      </c>
    </row>
    <row r="7" spans="1:16" x14ac:dyDescent="0.3">
      <c r="A7" s="4">
        <v>45967</v>
      </c>
      <c r="B7" s="5">
        <v>21</v>
      </c>
      <c r="C7" s="5">
        <v>26.5</v>
      </c>
      <c r="E7" s="4">
        <v>45967</v>
      </c>
      <c r="F7" s="5">
        <v>22.8</v>
      </c>
      <c r="H7" s="4">
        <v>45967</v>
      </c>
      <c r="I7" s="6">
        <v>5</v>
      </c>
      <c r="K7" s="4">
        <v>45967</v>
      </c>
      <c r="L7" s="5">
        <v>2</v>
      </c>
      <c r="M7" s="5">
        <v>48.4</v>
      </c>
      <c r="O7" s="12">
        <v>45967</v>
      </c>
      <c r="P7" s="15">
        <v>94.1</v>
      </c>
    </row>
    <row r="8" spans="1:16" x14ac:dyDescent="0.3">
      <c r="A8" s="4">
        <v>45968</v>
      </c>
      <c r="B8" s="5">
        <v>20.399999999999999</v>
      </c>
      <c r="C8" s="5">
        <v>27.8</v>
      </c>
      <c r="E8" s="4">
        <v>45968</v>
      </c>
      <c r="F8" s="5">
        <v>22.8</v>
      </c>
      <c r="H8" s="4">
        <v>45968</v>
      </c>
      <c r="I8" s="6">
        <v>8</v>
      </c>
      <c r="K8" s="4">
        <v>45968</v>
      </c>
      <c r="L8" s="5">
        <v>8.9</v>
      </c>
      <c r="M8" s="5">
        <v>12.9</v>
      </c>
      <c r="O8" s="12">
        <v>45968</v>
      </c>
      <c r="P8" s="15">
        <v>66.5</v>
      </c>
    </row>
    <row r="9" spans="1:16" x14ac:dyDescent="0.3">
      <c r="A9" s="4">
        <v>45969</v>
      </c>
      <c r="B9" s="5">
        <v>20.7</v>
      </c>
      <c r="C9" s="5">
        <v>28.5</v>
      </c>
      <c r="E9" s="4">
        <v>45969</v>
      </c>
      <c r="F9" s="5">
        <v>23.8</v>
      </c>
      <c r="H9" s="4">
        <v>45969</v>
      </c>
      <c r="I9" s="6">
        <v>9</v>
      </c>
      <c r="K9" s="4">
        <v>45969</v>
      </c>
      <c r="L9" s="5">
        <v>16.899999999999999</v>
      </c>
      <c r="M9" s="5">
        <v>48.4</v>
      </c>
      <c r="O9" s="12">
        <v>45969</v>
      </c>
      <c r="P9" s="15">
        <v>77.599999999999994</v>
      </c>
    </row>
    <row r="10" spans="1:16" x14ac:dyDescent="0.3">
      <c r="A10" s="4">
        <v>45970</v>
      </c>
      <c r="B10" s="5">
        <v>22.4</v>
      </c>
      <c r="C10" s="5">
        <v>28.4</v>
      </c>
      <c r="E10" s="4">
        <v>45970</v>
      </c>
      <c r="F10" s="5">
        <v>24.7</v>
      </c>
      <c r="H10" s="4">
        <v>45970</v>
      </c>
      <c r="I10" s="6">
        <v>7</v>
      </c>
      <c r="K10" s="4">
        <v>45970</v>
      </c>
      <c r="L10" s="5">
        <v>8.6</v>
      </c>
      <c r="M10" s="5">
        <v>67.7</v>
      </c>
      <c r="O10" s="12">
        <v>45970</v>
      </c>
      <c r="P10" s="15">
        <v>57.2</v>
      </c>
    </row>
    <row r="11" spans="1:16" x14ac:dyDescent="0.3">
      <c r="A11" s="4">
        <v>45971</v>
      </c>
      <c r="B11" s="5">
        <v>20.9</v>
      </c>
      <c r="C11" s="5">
        <v>27.1</v>
      </c>
      <c r="E11" s="4">
        <v>45971</v>
      </c>
      <c r="F11" s="5">
        <v>23.8</v>
      </c>
      <c r="H11" s="4">
        <v>45971</v>
      </c>
      <c r="I11" s="6">
        <v>8</v>
      </c>
      <c r="K11" s="4">
        <v>45971</v>
      </c>
      <c r="L11" s="5">
        <v>0.4</v>
      </c>
      <c r="M11" s="5">
        <v>71</v>
      </c>
      <c r="O11" s="12">
        <v>45971</v>
      </c>
      <c r="P11" s="15">
        <v>81.400000000000006</v>
      </c>
    </row>
    <row r="12" spans="1:16" x14ac:dyDescent="0.3">
      <c r="A12" s="4">
        <v>45972</v>
      </c>
      <c r="B12" s="5">
        <v>20.399999999999999</v>
      </c>
      <c r="C12" s="5">
        <v>27.3</v>
      </c>
      <c r="E12" s="4">
        <v>45972</v>
      </c>
      <c r="F12" s="5">
        <v>23.6</v>
      </c>
      <c r="H12" s="4">
        <v>45972</v>
      </c>
      <c r="I12" s="6">
        <v>9</v>
      </c>
      <c r="K12" s="4">
        <v>45972</v>
      </c>
      <c r="L12" s="5">
        <v>0.3</v>
      </c>
      <c r="M12" s="5">
        <v>71</v>
      </c>
      <c r="O12" s="12">
        <v>45972</v>
      </c>
      <c r="P12" s="15">
        <v>73.099999999999994</v>
      </c>
    </row>
    <row r="13" spans="1:16" x14ac:dyDescent="0.3">
      <c r="A13" s="4">
        <v>45973</v>
      </c>
      <c r="B13" s="5">
        <v>20.2</v>
      </c>
      <c r="C13" s="5">
        <v>27.8</v>
      </c>
      <c r="E13" s="4">
        <v>45973</v>
      </c>
      <c r="F13" s="5">
        <v>23.6</v>
      </c>
      <c r="H13" s="4">
        <v>45973</v>
      </c>
      <c r="I13" s="6">
        <v>8</v>
      </c>
      <c r="K13" s="4">
        <v>45973</v>
      </c>
      <c r="L13" s="5">
        <v>0.1</v>
      </c>
      <c r="M13" s="5">
        <v>45.2</v>
      </c>
      <c r="O13" s="12">
        <v>45973</v>
      </c>
      <c r="P13" s="15">
        <v>55.8</v>
      </c>
    </row>
    <row r="14" spans="1:16" x14ac:dyDescent="0.3">
      <c r="A14" s="4">
        <v>45974</v>
      </c>
      <c r="B14" s="5">
        <v>20.399999999999999</v>
      </c>
      <c r="C14" s="5">
        <v>27.6</v>
      </c>
      <c r="E14" s="4">
        <v>45974</v>
      </c>
      <c r="F14" s="5">
        <v>23.3</v>
      </c>
      <c r="H14" s="4">
        <v>45974</v>
      </c>
      <c r="I14" s="6">
        <v>8</v>
      </c>
      <c r="K14" s="4">
        <v>45974</v>
      </c>
      <c r="L14" s="5">
        <v>0.1</v>
      </c>
      <c r="M14" s="5">
        <v>38.700000000000003</v>
      </c>
      <c r="O14" s="12">
        <v>45974</v>
      </c>
      <c r="P14" s="15">
        <v>89.4</v>
      </c>
    </row>
    <row r="15" spans="1:16" x14ac:dyDescent="0.3">
      <c r="A15" s="4">
        <v>45975</v>
      </c>
      <c r="B15" s="5">
        <v>20.100000000000001</v>
      </c>
      <c r="C15" s="5">
        <v>27.1</v>
      </c>
      <c r="E15" s="4">
        <v>45975</v>
      </c>
      <c r="F15" s="5">
        <v>23.3</v>
      </c>
      <c r="H15" s="4">
        <v>45975</v>
      </c>
      <c r="I15" s="6">
        <v>7</v>
      </c>
      <c r="K15" s="4">
        <v>45975</v>
      </c>
      <c r="L15" s="5">
        <v>0.2</v>
      </c>
      <c r="M15" s="5">
        <v>19.399999999999999</v>
      </c>
      <c r="O15" s="12">
        <v>45975</v>
      </c>
      <c r="P15" s="15">
        <v>98.1</v>
      </c>
    </row>
    <row r="16" spans="1:16" x14ac:dyDescent="0.3">
      <c r="A16" s="4">
        <v>45976</v>
      </c>
      <c r="B16" s="5">
        <v>20.2</v>
      </c>
      <c r="C16" s="5">
        <v>27.2</v>
      </c>
      <c r="E16" s="4">
        <v>45976</v>
      </c>
      <c r="F16" s="5">
        <v>23.4</v>
      </c>
      <c r="H16" s="4">
        <v>45976</v>
      </c>
      <c r="I16" s="6">
        <v>9</v>
      </c>
      <c r="K16" s="4">
        <v>45976</v>
      </c>
      <c r="L16" s="5">
        <v>0.3</v>
      </c>
      <c r="M16" s="5">
        <v>9.6999999999999993</v>
      </c>
      <c r="O16" s="12">
        <v>45976</v>
      </c>
      <c r="P16" s="15">
        <v>78.400000000000006</v>
      </c>
    </row>
    <row r="17" spans="1:16" x14ac:dyDescent="0.3">
      <c r="A17" s="4">
        <v>45977</v>
      </c>
      <c r="B17" s="5">
        <v>19.5</v>
      </c>
      <c r="C17" s="5">
        <v>27.2</v>
      </c>
      <c r="E17" s="4">
        <v>45977</v>
      </c>
      <c r="F17" s="5">
        <v>23.1</v>
      </c>
      <c r="H17" s="4">
        <v>45977</v>
      </c>
      <c r="I17" s="6">
        <v>9</v>
      </c>
      <c r="K17" s="4">
        <v>45977</v>
      </c>
      <c r="L17" s="5">
        <v>0.1</v>
      </c>
      <c r="M17" s="5">
        <v>16.100000000000001</v>
      </c>
      <c r="O17" s="12">
        <v>45977</v>
      </c>
      <c r="P17" s="15">
        <v>72.599999999999994</v>
      </c>
    </row>
    <row r="18" spans="1:16" x14ac:dyDescent="0.3">
      <c r="A18" s="4">
        <v>45978</v>
      </c>
      <c r="B18" s="5">
        <v>20.3</v>
      </c>
      <c r="C18" s="5">
        <v>27.4</v>
      </c>
      <c r="E18" s="4">
        <v>45978</v>
      </c>
      <c r="F18" s="5">
        <v>23.6</v>
      </c>
      <c r="H18" s="4">
        <v>45978</v>
      </c>
      <c r="I18" s="6">
        <v>9</v>
      </c>
      <c r="K18" s="4">
        <v>45978</v>
      </c>
      <c r="L18" s="5">
        <v>0</v>
      </c>
      <c r="M18" s="5">
        <v>19.399999999999999</v>
      </c>
      <c r="O18" s="13">
        <v>45978</v>
      </c>
      <c r="P18" s="16">
        <v>50.7</v>
      </c>
    </row>
    <row r="22" spans="1:16" x14ac:dyDescent="0.3">
      <c r="A22" s="3" t="s">
        <v>31</v>
      </c>
      <c r="B22" t="s">
        <v>32</v>
      </c>
      <c r="E22" s="3" t="s">
        <v>31</v>
      </c>
      <c r="F22" t="s">
        <v>32</v>
      </c>
      <c r="K22" s="3" t="s">
        <v>31</v>
      </c>
      <c r="L22" t="s">
        <v>32</v>
      </c>
    </row>
    <row r="23" spans="1:16" x14ac:dyDescent="0.3">
      <c r="N23" s="2"/>
    </row>
    <row r="24" spans="1:16" x14ac:dyDescent="0.3">
      <c r="A24" s="3" t="s">
        <v>0</v>
      </c>
      <c r="B24" t="s">
        <v>40</v>
      </c>
      <c r="E24" s="3" t="s">
        <v>0</v>
      </c>
      <c r="F24" t="s">
        <v>41</v>
      </c>
      <c r="G24" s="5">
        <f>$F$25</f>
        <v>77.8</v>
      </c>
      <c r="H24" s="6">
        <f>$I$4</f>
        <v>9</v>
      </c>
      <c r="K24" s="3" t="s">
        <v>0</v>
      </c>
      <c r="L24" t="s">
        <v>45</v>
      </c>
      <c r="M24" t="s">
        <v>44</v>
      </c>
      <c r="N24" s="2"/>
    </row>
    <row r="25" spans="1:16" x14ac:dyDescent="0.3">
      <c r="A25" s="4">
        <v>45964</v>
      </c>
      <c r="B25" s="5">
        <v>18.399999999999999</v>
      </c>
      <c r="E25" s="4">
        <v>45964</v>
      </c>
      <c r="F25" s="5">
        <v>77.8</v>
      </c>
      <c r="G25" s="5">
        <f>100-G24</f>
        <v>22.200000000000003</v>
      </c>
      <c r="H25">
        <f>10-H24</f>
        <v>1</v>
      </c>
      <c r="K25" s="4">
        <v>45964</v>
      </c>
      <c r="L25" s="2">
        <v>0.25987268518518519</v>
      </c>
      <c r="M25" s="2">
        <v>0.74798611111111113</v>
      </c>
      <c r="N25" s="7">
        <f>(HOUR($L$25)+MINUTE($L$25)/60)</f>
        <v>6.2333333333333334</v>
      </c>
      <c r="O25" s="7">
        <f>(HOUR($M$25)+MINUTE($M$25)/60)</f>
        <v>17.95</v>
      </c>
    </row>
    <row r="26" spans="1:16" x14ac:dyDescent="0.3">
      <c r="A26" s="4">
        <v>45965</v>
      </c>
      <c r="B26" s="5">
        <v>14.8</v>
      </c>
      <c r="E26" s="4">
        <v>45965</v>
      </c>
      <c r="F26" s="5">
        <v>84.5</v>
      </c>
      <c r="G26">
        <f>100</f>
        <v>100</v>
      </c>
      <c r="H26">
        <v>10</v>
      </c>
      <c r="K26" s="4">
        <v>45965</v>
      </c>
      <c r="L26" s="2">
        <v>0.26004629629629628</v>
      </c>
      <c r="M26" s="2">
        <v>0.74782407407407403</v>
      </c>
      <c r="N26" s="7">
        <f>24-N25</f>
        <v>17.766666666666666</v>
      </c>
      <c r="O26" s="7">
        <f>24-O25</f>
        <v>6.0500000000000007</v>
      </c>
    </row>
    <row r="27" spans="1:16" x14ac:dyDescent="0.3">
      <c r="A27" s="4">
        <v>45966</v>
      </c>
      <c r="B27" s="5">
        <v>18</v>
      </c>
      <c r="E27" s="4">
        <v>45966</v>
      </c>
      <c r="F27" s="5">
        <v>82.6</v>
      </c>
      <c r="K27" s="4">
        <v>45966</v>
      </c>
      <c r="L27" s="2">
        <v>0.26024305555555555</v>
      </c>
      <c r="M27" s="2">
        <v>0.74766203703703704</v>
      </c>
      <c r="N27" s="7">
        <f>24</f>
        <v>24</v>
      </c>
      <c r="O27">
        <f>24</f>
        <v>24</v>
      </c>
    </row>
    <row r="28" spans="1:16" x14ac:dyDescent="0.3">
      <c r="A28" s="4">
        <v>45967</v>
      </c>
      <c r="B28" s="5">
        <v>16.600000000000001</v>
      </c>
      <c r="E28" s="4">
        <v>45967</v>
      </c>
      <c r="F28" s="5">
        <v>86.1</v>
      </c>
      <c r="K28" s="4">
        <v>45967</v>
      </c>
      <c r="L28" s="2">
        <v>0.26043981481481482</v>
      </c>
      <c r="M28" s="2">
        <v>0.74752314814814813</v>
      </c>
    </row>
    <row r="29" spans="1:16" x14ac:dyDescent="0.3">
      <c r="A29" s="4">
        <v>45968</v>
      </c>
      <c r="B29" s="5">
        <v>13.3</v>
      </c>
      <c r="E29" s="4">
        <v>45968</v>
      </c>
      <c r="F29" s="5">
        <v>83.2</v>
      </c>
      <c r="K29" s="4">
        <v>45968</v>
      </c>
      <c r="L29" s="2">
        <v>0.26064814814814813</v>
      </c>
      <c r="M29" s="2">
        <v>0.74738425925925922</v>
      </c>
    </row>
    <row r="30" spans="1:16" x14ac:dyDescent="0.3">
      <c r="A30" s="4">
        <v>45969</v>
      </c>
      <c r="B30" s="5">
        <v>10.8</v>
      </c>
      <c r="E30" s="4">
        <v>45969</v>
      </c>
      <c r="F30" s="5">
        <v>80.2</v>
      </c>
      <c r="K30" s="4">
        <v>45969</v>
      </c>
      <c r="L30" s="2">
        <v>0.26085648148148149</v>
      </c>
      <c r="M30" s="2">
        <v>0.7472685185185185</v>
      </c>
    </row>
    <row r="31" spans="1:16" x14ac:dyDescent="0.3">
      <c r="A31" s="4">
        <v>45970</v>
      </c>
      <c r="B31" s="5">
        <v>12.6</v>
      </c>
      <c r="E31" s="4">
        <v>45970</v>
      </c>
      <c r="F31" s="5">
        <v>80</v>
      </c>
      <c r="K31" s="4">
        <v>45970</v>
      </c>
      <c r="L31" s="2">
        <v>0.26108796296296294</v>
      </c>
      <c r="M31" s="2">
        <v>0.74715277777777778</v>
      </c>
    </row>
    <row r="32" spans="1:16" x14ac:dyDescent="0.3">
      <c r="A32" s="4">
        <v>45971</v>
      </c>
      <c r="B32" s="5">
        <v>10.8</v>
      </c>
      <c r="E32" s="4">
        <v>45971</v>
      </c>
      <c r="F32" s="5">
        <v>73.7</v>
      </c>
      <c r="K32" s="4">
        <v>45971</v>
      </c>
      <c r="L32" s="2">
        <v>0.26130787037037034</v>
      </c>
      <c r="M32" s="2">
        <v>0.74706018518518513</v>
      </c>
    </row>
    <row r="33" spans="1:13" x14ac:dyDescent="0.3">
      <c r="A33" s="4">
        <v>45972</v>
      </c>
      <c r="B33" s="5">
        <v>10.8</v>
      </c>
      <c r="E33" s="4">
        <v>45972</v>
      </c>
      <c r="F33" s="5">
        <v>75</v>
      </c>
      <c r="K33" s="4">
        <v>45972</v>
      </c>
      <c r="L33" s="2">
        <v>0.26155092592592594</v>
      </c>
      <c r="M33" s="2">
        <v>0.74697916666666664</v>
      </c>
    </row>
    <row r="34" spans="1:13" x14ac:dyDescent="0.3">
      <c r="A34" s="4">
        <v>45973</v>
      </c>
      <c r="B34" s="5">
        <v>10.1</v>
      </c>
      <c r="E34" s="4">
        <v>45973</v>
      </c>
      <c r="F34" s="5">
        <v>77.2</v>
      </c>
      <c r="K34" s="4">
        <v>45973</v>
      </c>
      <c r="L34" s="2">
        <v>0.26179398148148147</v>
      </c>
      <c r="M34" s="2">
        <v>0.74689814814814814</v>
      </c>
    </row>
    <row r="35" spans="1:13" x14ac:dyDescent="0.3">
      <c r="A35" s="4">
        <v>45974</v>
      </c>
      <c r="B35" s="5">
        <v>11.9</v>
      </c>
      <c r="E35" s="4">
        <v>45974</v>
      </c>
      <c r="F35" s="5">
        <v>79.599999999999994</v>
      </c>
      <c r="K35" s="4">
        <v>45974</v>
      </c>
      <c r="L35" s="2">
        <v>0.26204861111111111</v>
      </c>
      <c r="M35" s="2">
        <v>0.74684027777777773</v>
      </c>
    </row>
    <row r="36" spans="1:13" x14ac:dyDescent="0.3">
      <c r="A36" s="4">
        <v>45975</v>
      </c>
      <c r="B36" s="5">
        <v>10.4</v>
      </c>
      <c r="E36" s="4">
        <v>45975</v>
      </c>
      <c r="F36" s="5">
        <v>78.900000000000006</v>
      </c>
      <c r="K36" s="4">
        <v>45975</v>
      </c>
      <c r="L36" s="2">
        <v>0.26230324074074074</v>
      </c>
      <c r="M36" s="2">
        <v>0.74679398148148146</v>
      </c>
    </row>
    <row r="37" spans="1:13" x14ac:dyDescent="0.3">
      <c r="A37" s="4">
        <v>45976</v>
      </c>
      <c r="B37" s="5">
        <v>9.4</v>
      </c>
      <c r="E37" s="4">
        <v>45976</v>
      </c>
      <c r="F37" s="5">
        <v>74.3</v>
      </c>
      <c r="K37" s="4">
        <v>45976</v>
      </c>
      <c r="L37" s="2">
        <v>0.26256944444444447</v>
      </c>
      <c r="M37" s="2">
        <v>0.74675925925925923</v>
      </c>
    </row>
    <row r="38" spans="1:13" x14ac:dyDescent="0.3">
      <c r="A38" s="4">
        <v>45977</v>
      </c>
      <c r="B38" s="5">
        <v>9.6999999999999993</v>
      </c>
      <c r="E38" s="4">
        <v>45977</v>
      </c>
      <c r="F38" s="5">
        <v>74</v>
      </c>
      <c r="K38" s="4">
        <v>45977</v>
      </c>
      <c r="L38" s="2">
        <v>0.26284722222222223</v>
      </c>
      <c r="M38" s="2">
        <v>0.74673611111111116</v>
      </c>
    </row>
    <row r="39" spans="1:13" x14ac:dyDescent="0.3">
      <c r="A39" s="4">
        <v>45978</v>
      </c>
      <c r="B39" s="5">
        <v>9.6999999999999993</v>
      </c>
      <c r="E39" s="4">
        <v>45978</v>
      </c>
      <c r="F39" s="5">
        <v>70.3</v>
      </c>
      <c r="K39" s="4">
        <v>45978</v>
      </c>
      <c r="L39" s="2">
        <v>0.263125</v>
      </c>
      <c r="M39" s="2">
        <v>0.74673611111111116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5C99B-A577-4AA3-8951-D106DE66C358}">
  <sheetPr codeName="Sheet9"/>
  <dimension ref="A1:P39"/>
  <sheetViews>
    <sheetView zoomScale="81" zoomScaleNormal="99" workbookViewId="0">
      <selection activeCell="P4" sqref="P4"/>
    </sheetView>
  </sheetViews>
  <sheetFormatPr defaultRowHeight="14.4" x14ac:dyDescent="0.3"/>
  <cols>
    <col min="1" max="1" width="10.33203125" bestFit="1" customWidth="1"/>
    <col min="2" max="2" width="11.6640625" bestFit="1" customWidth="1"/>
    <col min="3" max="3" width="10.109375" bestFit="1" customWidth="1"/>
    <col min="5" max="5" width="10.33203125" bestFit="1" customWidth="1"/>
    <col min="6" max="6" width="12" bestFit="1" customWidth="1"/>
    <col min="8" max="8" width="10.33203125" bestFit="1" customWidth="1"/>
    <col min="9" max="9" width="10.6640625" bestFit="1" customWidth="1"/>
    <col min="11" max="11" width="10.33203125" bestFit="1" customWidth="1"/>
    <col min="12" max="12" width="11.88671875" bestFit="1" customWidth="1"/>
    <col min="13" max="13" width="11"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3" t="s">
        <v>31</v>
      </c>
      <c r="B1" t="s">
        <v>34</v>
      </c>
      <c r="E1" s="3" t="s">
        <v>31</v>
      </c>
      <c r="F1" t="s">
        <v>34</v>
      </c>
      <c r="H1" s="3" t="s">
        <v>31</v>
      </c>
      <c r="I1" t="s">
        <v>34</v>
      </c>
      <c r="K1" s="3" t="s">
        <v>31</v>
      </c>
      <c r="L1" t="s">
        <v>34</v>
      </c>
      <c r="O1" s="17" t="s">
        <v>31</v>
      </c>
      <c r="P1" s="18" t="s">
        <v>34</v>
      </c>
    </row>
    <row r="3" spans="1:16" x14ac:dyDescent="0.3">
      <c r="A3" s="3" t="s">
        <v>0</v>
      </c>
      <c r="B3" t="s">
        <v>36</v>
      </c>
      <c r="C3" t="s">
        <v>37</v>
      </c>
      <c r="E3" s="3" t="s">
        <v>0</v>
      </c>
      <c r="F3" t="s">
        <v>38</v>
      </c>
      <c r="H3" s="3" t="s">
        <v>0</v>
      </c>
      <c r="I3" t="s">
        <v>39</v>
      </c>
      <c r="K3" s="3" t="s">
        <v>0</v>
      </c>
      <c r="L3" t="s">
        <v>42</v>
      </c>
      <c r="M3" t="s">
        <v>43</v>
      </c>
      <c r="O3" s="9" t="s">
        <v>0</v>
      </c>
      <c r="P3" s="10" t="s">
        <v>49</v>
      </c>
    </row>
    <row r="4" spans="1:16" x14ac:dyDescent="0.3">
      <c r="A4" s="4">
        <v>45964</v>
      </c>
      <c r="B4" s="5">
        <v>25</v>
      </c>
      <c r="C4" s="5">
        <v>36</v>
      </c>
      <c r="E4" s="4">
        <v>45964</v>
      </c>
      <c r="F4" s="5">
        <v>29.7</v>
      </c>
      <c r="H4" s="4">
        <v>45964</v>
      </c>
      <c r="I4" s="6">
        <v>9</v>
      </c>
      <c r="K4" s="4">
        <v>45964</v>
      </c>
      <c r="L4" s="5">
        <v>1.8</v>
      </c>
      <c r="M4" s="5">
        <v>38.700000000000003</v>
      </c>
      <c r="O4" s="11">
        <v>45964</v>
      </c>
      <c r="P4" s="14">
        <v>45.1</v>
      </c>
    </row>
    <row r="5" spans="1:16" x14ac:dyDescent="0.3">
      <c r="A5" s="4">
        <v>45965</v>
      </c>
      <c r="B5" s="5">
        <v>24</v>
      </c>
      <c r="C5" s="5">
        <v>31.1</v>
      </c>
      <c r="E5" s="4">
        <v>45965</v>
      </c>
      <c r="F5" s="5">
        <v>27.1</v>
      </c>
      <c r="H5" s="4">
        <v>45965</v>
      </c>
      <c r="I5" s="6">
        <v>7</v>
      </c>
      <c r="K5" s="4">
        <v>45965</v>
      </c>
      <c r="L5" s="5">
        <v>2</v>
      </c>
      <c r="M5" s="5">
        <v>67.7</v>
      </c>
      <c r="O5" s="12">
        <v>45965</v>
      </c>
      <c r="P5" s="15">
        <v>99.7</v>
      </c>
    </row>
    <row r="6" spans="1:16" x14ac:dyDescent="0.3">
      <c r="A6" s="4">
        <v>45966</v>
      </c>
      <c r="B6" s="5">
        <v>23.4</v>
      </c>
      <c r="C6" s="5">
        <v>31.4</v>
      </c>
      <c r="E6" s="4">
        <v>45966</v>
      </c>
      <c r="F6" s="5">
        <v>26.7</v>
      </c>
      <c r="H6" s="4">
        <v>45966</v>
      </c>
      <c r="I6" s="6">
        <v>9</v>
      </c>
      <c r="K6" s="4">
        <v>45966</v>
      </c>
      <c r="L6" s="5">
        <v>21.6</v>
      </c>
      <c r="M6" s="5">
        <v>96.8</v>
      </c>
      <c r="O6" s="12">
        <v>45966</v>
      </c>
      <c r="P6" s="15">
        <v>73.099999999999994</v>
      </c>
    </row>
    <row r="7" spans="1:16" x14ac:dyDescent="0.3">
      <c r="A7" s="4">
        <v>45967</v>
      </c>
      <c r="B7" s="5">
        <v>21.7</v>
      </c>
      <c r="C7" s="5">
        <v>29.4</v>
      </c>
      <c r="E7" s="4">
        <v>45967</v>
      </c>
      <c r="F7" s="5">
        <v>25</v>
      </c>
      <c r="H7" s="4">
        <v>45967</v>
      </c>
      <c r="I7" s="6">
        <v>9</v>
      </c>
      <c r="K7" s="4">
        <v>45967</v>
      </c>
      <c r="L7" s="5">
        <v>7.1</v>
      </c>
      <c r="M7" s="5">
        <v>77.400000000000006</v>
      </c>
      <c r="O7" s="12">
        <v>45967</v>
      </c>
      <c r="P7" s="15">
        <v>92.8</v>
      </c>
    </row>
    <row r="8" spans="1:16" x14ac:dyDescent="0.3">
      <c r="A8" s="4">
        <v>45968</v>
      </c>
      <c r="B8" s="5">
        <v>23.4</v>
      </c>
      <c r="C8" s="5">
        <v>31</v>
      </c>
      <c r="E8" s="4">
        <v>45968</v>
      </c>
      <c r="F8" s="5">
        <v>26.3</v>
      </c>
      <c r="H8" s="4">
        <v>45968</v>
      </c>
      <c r="I8" s="6">
        <v>9</v>
      </c>
      <c r="K8" s="4">
        <v>45968</v>
      </c>
      <c r="L8" s="5">
        <v>3.4</v>
      </c>
      <c r="M8" s="5">
        <v>16.100000000000001</v>
      </c>
      <c r="O8" s="12">
        <v>45968</v>
      </c>
      <c r="P8" s="15">
        <v>49.9</v>
      </c>
    </row>
    <row r="9" spans="1:16" x14ac:dyDescent="0.3">
      <c r="A9" s="4">
        <v>45969</v>
      </c>
      <c r="B9" s="5">
        <v>22.9</v>
      </c>
      <c r="C9" s="5">
        <v>30.5</v>
      </c>
      <c r="E9" s="4">
        <v>45969</v>
      </c>
      <c r="F9" s="5">
        <v>26</v>
      </c>
      <c r="H9" s="4">
        <v>45969</v>
      </c>
      <c r="I9" s="6">
        <v>9</v>
      </c>
      <c r="K9" s="4">
        <v>45969</v>
      </c>
      <c r="L9" s="5">
        <v>8.1</v>
      </c>
      <c r="M9" s="5">
        <v>45.2</v>
      </c>
      <c r="O9" s="12">
        <v>45969</v>
      </c>
      <c r="P9" s="15">
        <v>55.3</v>
      </c>
    </row>
    <row r="10" spans="1:16" x14ac:dyDescent="0.3">
      <c r="A10" s="4">
        <v>45970</v>
      </c>
      <c r="B10" s="5">
        <v>23.9</v>
      </c>
      <c r="C10" s="5">
        <v>28.4</v>
      </c>
      <c r="E10" s="4">
        <v>45970</v>
      </c>
      <c r="F10" s="5">
        <v>26</v>
      </c>
      <c r="H10" s="4">
        <v>45970</v>
      </c>
      <c r="I10" s="6">
        <v>8</v>
      </c>
      <c r="K10" s="4">
        <v>45970</v>
      </c>
      <c r="L10" s="5">
        <v>18.899999999999999</v>
      </c>
      <c r="M10" s="5">
        <v>64.5</v>
      </c>
      <c r="O10" s="12">
        <v>45970</v>
      </c>
      <c r="P10" s="15">
        <v>64.3</v>
      </c>
    </row>
    <row r="11" spans="1:16" x14ac:dyDescent="0.3">
      <c r="A11" s="4">
        <v>45971</v>
      </c>
      <c r="B11" s="5">
        <v>23.1</v>
      </c>
      <c r="C11" s="5">
        <v>28.3</v>
      </c>
      <c r="E11" s="4">
        <v>45971</v>
      </c>
      <c r="F11" s="5">
        <v>25.6</v>
      </c>
      <c r="H11" s="4">
        <v>45971</v>
      </c>
      <c r="I11" s="6">
        <v>7</v>
      </c>
      <c r="K11" s="4">
        <v>45971</v>
      </c>
      <c r="L11" s="5">
        <v>1.6</v>
      </c>
      <c r="M11" s="5">
        <v>77.400000000000006</v>
      </c>
      <c r="O11" s="12">
        <v>45971</v>
      </c>
      <c r="P11" s="15">
        <v>80.099999999999994</v>
      </c>
    </row>
    <row r="12" spans="1:16" x14ac:dyDescent="0.3">
      <c r="A12" s="4">
        <v>45972</v>
      </c>
      <c r="B12" s="5">
        <v>23.8</v>
      </c>
      <c r="C12" s="5">
        <v>28.9</v>
      </c>
      <c r="E12" s="4">
        <v>45972</v>
      </c>
      <c r="F12" s="5">
        <v>25.7</v>
      </c>
      <c r="H12" s="4">
        <v>45972</v>
      </c>
      <c r="I12" s="6">
        <v>7</v>
      </c>
      <c r="K12" s="4">
        <v>45972</v>
      </c>
      <c r="L12" s="5">
        <v>1.4</v>
      </c>
      <c r="M12" s="5">
        <v>61.3</v>
      </c>
      <c r="O12" s="12">
        <v>45972</v>
      </c>
      <c r="P12" s="15">
        <v>89</v>
      </c>
    </row>
    <row r="13" spans="1:16" x14ac:dyDescent="0.3">
      <c r="A13" s="4">
        <v>45973</v>
      </c>
      <c r="B13" s="5">
        <v>23.2</v>
      </c>
      <c r="C13" s="5">
        <v>28.6</v>
      </c>
      <c r="E13" s="4">
        <v>45973</v>
      </c>
      <c r="F13" s="5">
        <v>25.5</v>
      </c>
      <c r="H13" s="4">
        <v>45973</v>
      </c>
      <c r="I13" s="6">
        <v>6</v>
      </c>
      <c r="K13" s="4">
        <v>45973</v>
      </c>
      <c r="L13" s="5">
        <v>1.4</v>
      </c>
      <c r="M13" s="5">
        <v>58.1</v>
      </c>
      <c r="O13" s="12">
        <v>45973</v>
      </c>
      <c r="P13" s="15">
        <v>83.1</v>
      </c>
    </row>
    <row r="14" spans="1:16" x14ac:dyDescent="0.3">
      <c r="A14" s="4">
        <v>45974</v>
      </c>
      <c r="B14" s="5">
        <v>23.1</v>
      </c>
      <c r="C14" s="5">
        <v>28.4</v>
      </c>
      <c r="E14" s="4">
        <v>45974</v>
      </c>
      <c r="F14" s="5">
        <v>25</v>
      </c>
      <c r="H14" s="4">
        <v>45974</v>
      </c>
      <c r="I14" s="6">
        <v>7</v>
      </c>
      <c r="K14" s="4">
        <v>45974</v>
      </c>
      <c r="L14" s="5">
        <v>0.1</v>
      </c>
      <c r="M14" s="5">
        <v>32.299999999999997</v>
      </c>
      <c r="O14" s="12">
        <v>45974</v>
      </c>
      <c r="P14" s="15">
        <v>97.7</v>
      </c>
    </row>
    <row r="15" spans="1:16" x14ac:dyDescent="0.3">
      <c r="A15" s="4">
        <v>45975</v>
      </c>
      <c r="B15" s="5">
        <v>21.9</v>
      </c>
      <c r="C15" s="5">
        <v>28</v>
      </c>
      <c r="E15" s="4">
        <v>45975</v>
      </c>
      <c r="F15" s="5">
        <v>24.5</v>
      </c>
      <c r="H15" s="4">
        <v>45975</v>
      </c>
      <c r="I15" s="6">
        <v>7</v>
      </c>
      <c r="K15" s="4">
        <v>45975</v>
      </c>
      <c r="L15" s="5">
        <v>0</v>
      </c>
      <c r="M15" s="5">
        <v>12.9</v>
      </c>
      <c r="O15" s="12">
        <v>45975</v>
      </c>
      <c r="P15" s="15">
        <v>99.7</v>
      </c>
    </row>
    <row r="16" spans="1:16" x14ac:dyDescent="0.3">
      <c r="A16" s="4">
        <v>45976</v>
      </c>
      <c r="B16" s="5">
        <v>21.3</v>
      </c>
      <c r="C16" s="5">
        <v>28.7</v>
      </c>
      <c r="E16" s="4">
        <v>45976</v>
      </c>
      <c r="F16" s="5">
        <v>24.6</v>
      </c>
      <c r="H16" s="4">
        <v>45976</v>
      </c>
      <c r="I16" s="6">
        <v>7</v>
      </c>
      <c r="K16" s="4">
        <v>45976</v>
      </c>
      <c r="L16" s="5">
        <v>0</v>
      </c>
      <c r="M16" s="5">
        <v>12.9</v>
      </c>
      <c r="O16" s="12">
        <v>45976</v>
      </c>
      <c r="P16" s="15">
        <v>72.400000000000006</v>
      </c>
    </row>
    <row r="17" spans="1:16" x14ac:dyDescent="0.3">
      <c r="A17" s="4">
        <v>45977</v>
      </c>
      <c r="B17" s="5">
        <v>22.1</v>
      </c>
      <c r="C17" s="5">
        <v>28.7</v>
      </c>
      <c r="E17" s="4">
        <v>45977</v>
      </c>
      <c r="F17" s="5">
        <v>24.9</v>
      </c>
      <c r="H17" s="4">
        <v>45977</v>
      </c>
      <c r="I17" s="6">
        <v>8</v>
      </c>
      <c r="K17" s="4">
        <v>45977</v>
      </c>
      <c r="L17" s="5">
        <v>0.1</v>
      </c>
      <c r="M17" s="5">
        <v>9.6999999999999993</v>
      </c>
      <c r="O17" s="12">
        <v>45977</v>
      </c>
      <c r="P17" s="15">
        <v>78.900000000000006</v>
      </c>
    </row>
    <row r="18" spans="1:16" x14ac:dyDescent="0.3">
      <c r="A18" s="4">
        <v>45978</v>
      </c>
      <c r="B18" s="5">
        <v>21.4</v>
      </c>
      <c r="C18" s="5">
        <v>29.1</v>
      </c>
      <c r="E18" s="4">
        <v>45978</v>
      </c>
      <c r="F18" s="5">
        <v>24.9</v>
      </c>
      <c r="H18" s="4">
        <v>45978</v>
      </c>
      <c r="I18" s="6">
        <v>9</v>
      </c>
      <c r="K18" s="4">
        <v>45978</v>
      </c>
      <c r="L18" s="5">
        <v>0.1</v>
      </c>
      <c r="M18" s="5">
        <v>16.100000000000001</v>
      </c>
      <c r="O18" s="13">
        <v>45978</v>
      </c>
      <c r="P18" s="16">
        <v>45.7</v>
      </c>
    </row>
    <row r="22" spans="1:16" x14ac:dyDescent="0.3">
      <c r="A22" s="3" t="s">
        <v>31</v>
      </c>
      <c r="B22" t="s">
        <v>34</v>
      </c>
      <c r="E22" s="3" t="s">
        <v>31</v>
      </c>
      <c r="F22" t="s">
        <v>34</v>
      </c>
      <c r="K22" s="3" t="s">
        <v>31</v>
      </c>
      <c r="L22" t="s">
        <v>34</v>
      </c>
    </row>
    <row r="23" spans="1:16" x14ac:dyDescent="0.3">
      <c r="N23" s="2"/>
    </row>
    <row r="24" spans="1:16" x14ac:dyDescent="0.3">
      <c r="A24" s="3" t="s">
        <v>0</v>
      </c>
      <c r="B24" t="s">
        <v>40</v>
      </c>
      <c r="E24" s="3" t="s">
        <v>0</v>
      </c>
      <c r="F24" t="s">
        <v>41</v>
      </c>
      <c r="G24" s="5">
        <f>$F$25</f>
        <v>65.8</v>
      </c>
      <c r="H24" s="6">
        <f>$I$4</f>
        <v>9</v>
      </c>
      <c r="K24" s="3" t="s">
        <v>0</v>
      </c>
      <c r="L24" t="s">
        <v>45</v>
      </c>
      <c r="M24" t="s">
        <v>44</v>
      </c>
      <c r="N24" s="2"/>
    </row>
    <row r="25" spans="1:16" x14ac:dyDescent="0.3">
      <c r="A25" s="4">
        <v>45964</v>
      </c>
      <c r="B25" s="5">
        <v>14.8</v>
      </c>
      <c r="E25" s="4">
        <v>45964</v>
      </c>
      <c r="F25" s="5">
        <v>65.8</v>
      </c>
      <c r="G25" s="5">
        <f>100-G24</f>
        <v>34.200000000000003</v>
      </c>
      <c r="H25">
        <f>10-H24</f>
        <v>1</v>
      </c>
      <c r="K25" s="4">
        <v>45964</v>
      </c>
      <c r="L25" s="2">
        <v>0.25583333333333336</v>
      </c>
      <c r="M25" s="2">
        <v>0.74561342592592594</v>
      </c>
      <c r="N25" s="7">
        <f>(HOUR($L$25)+MINUTE($L$25)/60)</f>
        <v>6.1333333333333337</v>
      </c>
      <c r="O25" s="7">
        <f>(HOUR($M$25)+MINUTE($M$25)/60)</f>
        <v>17.883333333333333</v>
      </c>
    </row>
    <row r="26" spans="1:16" x14ac:dyDescent="0.3">
      <c r="A26" s="4">
        <v>45965</v>
      </c>
      <c r="B26" s="5">
        <v>11.9</v>
      </c>
      <c r="E26" s="4">
        <v>45965</v>
      </c>
      <c r="F26" s="5">
        <v>71.7</v>
      </c>
      <c r="G26">
        <f>100</f>
        <v>100</v>
      </c>
      <c r="H26">
        <v>10</v>
      </c>
      <c r="K26" s="4">
        <v>45965</v>
      </c>
      <c r="L26" s="2">
        <v>0.25599537037037035</v>
      </c>
      <c r="M26" s="2">
        <v>0.74546296296296299</v>
      </c>
      <c r="N26" s="7">
        <f>24-N25</f>
        <v>17.866666666666667</v>
      </c>
      <c r="O26" s="7">
        <f>24-O25</f>
        <v>6.1166666666666671</v>
      </c>
    </row>
    <row r="27" spans="1:16" x14ac:dyDescent="0.3">
      <c r="A27" s="4">
        <v>45966</v>
      </c>
      <c r="B27" s="5">
        <v>11.2</v>
      </c>
      <c r="E27" s="4">
        <v>45966</v>
      </c>
      <c r="F27" s="5">
        <v>75</v>
      </c>
      <c r="K27" s="4">
        <v>45966</v>
      </c>
      <c r="L27" s="2">
        <v>0.25616898148148148</v>
      </c>
      <c r="M27" s="2">
        <v>0.74532407407407408</v>
      </c>
      <c r="N27" s="7">
        <f>24</f>
        <v>24</v>
      </c>
      <c r="O27">
        <f>24</f>
        <v>24</v>
      </c>
    </row>
    <row r="28" spans="1:16" x14ac:dyDescent="0.3">
      <c r="A28" s="4">
        <v>45967</v>
      </c>
      <c r="B28" s="5">
        <v>12.2</v>
      </c>
      <c r="E28" s="4">
        <v>45967</v>
      </c>
      <c r="F28" s="5">
        <v>75.599999999999994</v>
      </c>
      <c r="K28" s="4">
        <v>45967</v>
      </c>
      <c r="L28" s="2">
        <v>0.25635416666666666</v>
      </c>
      <c r="M28" s="2">
        <v>0.74519675925925921</v>
      </c>
    </row>
    <row r="29" spans="1:16" x14ac:dyDescent="0.3">
      <c r="A29" s="4">
        <v>45968</v>
      </c>
      <c r="B29" s="5">
        <v>9.4</v>
      </c>
      <c r="E29" s="4">
        <v>45968</v>
      </c>
      <c r="F29" s="5">
        <v>72.099999999999994</v>
      </c>
      <c r="K29" s="4">
        <v>45968</v>
      </c>
      <c r="L29" s="2">
        <v>0.25653935185185184</v>
      </c>
      <c r="M29" s="2">
        <v>0.74508101851851849</v>
      </c>
    </row>
    <row r="30" spans="1:16" x14ac:dyDescent="0.3">
      <c r="A30" s="4">
        <v>45969</v>
      </c>
      <c r="B30" s="5">
        <v>9</v>
      </c>
      <c r="E30" s="4">
        <v>45969</v>
      </c>
      <c r="F30" s="5">
        <v>74.099999999999994</v>
      </c>
      <c r="K30" s="4">
        <v>45969</v>
      </c>
      <c r="L30" s="2">
        <v>0.25673611111111111</v>
      </c>
      <c r="M30" s="2">
        <v>0.74497685185185181</v>
      </c>
    </row>
    <row r="31" spans="1:16" x14ac:dyDescent="0.3">
      <c r="A31" s="4">
        <v>45970</v>
      </c>
      <c r="B31" s="5">
        <v>8.5</v>
      </c>
      <c r="E31" s="4">
        <v>45970</v>
      </c>
      <c r="F31" s="5">
        <v>78.599999999999994</v>
      </c>
      <c r="K31" s="4">
        <v>45970</v>
      </c>
      <c r="L31" s="2">
        <v>0.25694444444444442</v>
      </c>
      <c r="M31" s="2">
        <v>0.74488425925925927</v>
      </c>
    </row>
    <row r="32" spans="1:16" x14ac:dyDescent="0.3">
      <c r="A32" s="4">
        <v>45971</v>
      </c>
      <c r="B32" s="5">
        <v>9.4</v>
      </c>
      <c r="E32" s="4">
        <v>45971</v>
      </c>
      <c r="F32" s="5">
        <v>73.8</v>
      </c>
      <c r="K32" s="4">
        <v>45971</v>
      </c>
      <c r="L32" s="2">
        <v>0.25715277777777779</v>
      </c>
      <c r="M32" s="2">
        <v>0.74480324074074078</v>
      </c>
    </row>
    <row r="33" spans="1:13" x14ac:dyDescent="0.3">
      <c r="A33" s="4">
        <v>45972</v>
      </c>
      <c r="B33" s="5">
        <v>8.6</v>
      </c>
      <c r="E33" s="4">
        <v>45972</v>
      </c>
      <c r="F33" s="5">
        <v>75.599999999999994</v>
      </c>
      <c r="K33" s="4">
        <v>45972</v>
      </c>
      <c r="L33" s="2">
        <v>0.25737268518518519</v>
      </c>
      <c r="M33" s="2">
        <v>0.74473379629629632</v>
      </c>
    </row>
    <row r="34" spans="1:13" x14ac:dyDescent="0.3">
      <c r="A34" s="4">
        <v>45973</v>
      </c>
      <c r="B34" s="5">
        <v>7.2</v>
      </c>
      <c r="E34" s="4">
        <v>45973</v>
      </c>
      <c r="F34" s="5">
        <v>75.5</v>
      </c>
      <c r="K34" s="4">
        <v>45973</v>
      </c>
      <c r="L34" s="2">
        <v>0.25760416666666669</v>
      </c>
      <c r="M34" s="2">
        <v>0.74467592592592591</v>
      </c>
    </row>
    <row r="35" spans="1:13" x14ac:dyDescent="0.3">
      <c r="A35" s="4">
        <v>45974</v>
      </c>
      <c r="B35" s="5">
        <v>13</v>
      </c>
      <c r="E35" s="4">
        <v>45974</v>
      </c>
      <c r="F35" s="5">
        <v>71.400000000000006</v>
      </c>
      <c r="K35" s="4">
        <v>45974</v>
      </c>
      <c r="L35" s="2">
        <v>0.25783564814814813</v>
      </c>
      <c r="M35" s="2">
        <v>0.74462962962962964</v>
      </c>
    </row>
    <row r="36" spans="1:13" x14ac:dyDescent="0.3">
      <c r="A36" s="4">
        <v>45975</v>
      </c>
      <c r="B36" s="5">
        <v>9.6999999999999993</v>
      </c>
      <c r="E36" s="4">
        <v>45975</v>
      </c>
      <c r="F36" s="5">
        <v>70.3</v>
      </c>
      <c r="K36" s="4">
        <v>45975</v>
      </c>
      <c r="L36" s="2">
        <v>0.25807870370370373</v>
      </c>
      <c r="M36" s="2">
        <v>0.74460648148148145</v>
      </c>
    </row>
    <row r="37" spans="1:13" x14ac:dyDescent="0.3">
      <c r="A37" s="4">
        <v>45976</v>
      </c>
      <c r="B37" s="5">
        <v>9.6999999999999993</v>
      </c>
      <c r="E37" s="4">
        <v>45976</v>
      </c>
      <c r="F37" s="5">
        <v>67.5</v>
      </c>
      <c r="K37" s="4">
        <v>45976</v>
      </c>
      <c r="L37" s="2">
        <v>0.25833333333333336</v>
      </c>
      <c r="M37" s="2">
        <v>0.74458333333333337</v>
      </c>
    </row>
    <row r="38" spans="1:13" x14ac:dyDescent="0.3">
      <c r="A38" s="4">
        <v>45977</v>
      </c>
      <c r="B38" s="5">
        <v>9.4</v>
      </c>
      <c r="E38" s="4">
        <v>45977</v>
      </c>
      <c r="F38" s="5">
        <v>66.900000000000006</v>
      </c>
      <c r="K38" s="4">
        <v>45977</v>
      </c>
      <c r="L38" s="2">
        <v>0.25858796296296294</v>
      </c>
      <c r="M38" s="2">
        <v>0.74457175925925922</v>
      </c>
    </row>
    <row r="39" spans="1:13" x14ac:dyDescent="0.3">
      <c r="A39" s="4">
        <v>45978</v>
      </c>
      <c r="B39" s="5">
        <v>8.9</v>
      </c>
      <c r="E39" s="4">
        <v>45978</v>
      </c>
      <c r="F39" s="5">
        <v>65.8</v>
      </c>
      <c r="K39" s="4">
        <v>45978</v>
      </c>
      <c r="L39" s="2">
        <v>0.25885416666666666</v>
      </c>
      <c r="M39" s="2">
        <v>0.74458333333333337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BCA33-9622-46DB-B8D5-9319870089A5}">
  <sheetPr codeName="Sheet10"/>
  <dimension ref="A1:P39"/>
  <sheetViews>
    <sheetView zoomScale="81" zoomScaleNormal="99" workbookViewId="0">
      <selection activeCell="P4" sqref="P4"/>
    </sheetView>
  </sheetViews>
  <sheetFormatPr defaultRowHeight="14.4" x14ac:dyDescent="0.3"/>
  <cols>
    <col min="1" max="1" width="10.33203125" bestFit="1" customWidth="1"/>
    <col min="2" max="2" width="11.6640625" bestFit="1" customWidth="1"/>
    <col min="3" max="3" width="10.109375" bestFit="1" customWidth="1"/>
    <col min="5" max="5" width="10.33203125" bestFit="1" customWidth="1"/>
    <col min="6" max="6" width="12" bestFit="1" customWidth="1"/>
    <col min="8" max="8" width="10.33203125" bestFit="1" customWidth="1"/>
    <col min="9" max="9" width="9" bestFit="1" customWidth="1"/>
    <col min="11" max="11" width="10.33203125" bestFit="1" customWidth="1"/>
    <col min="12" max="12" width="11.88671875" bestFit="1" customWidth="1"/>
    <col min="13" max="13" width="11" bestFit="1" customWidth="1"/>
    <col min="14" max="14" width="24" bestFit="1" customWidth="1"/>
    <col min="15" max="15" width="10.33203125" bestFit="1" customWidth="1"/>
    <col min="16" max="16" width="11.44140625" bestFit="1" customWidth="1"/>
    <col min="17" max="17" width="8.33203125" bestFit="1" customWidth="1"/>
    <col min="18" max="18" width="14" bestFit="1" customWidth="1"/>
    <col min="19" max="19" width="4.6640625" bestFit="1" customWidth="1"/>
    <col min="20" max="20" width="13.109375" bestFit="1" customWidth="1"/>
    <col min="21" max="21" width="18.77734375" bestFit="1" customWidth="1"/>
    <col min="22" max="22" width="10.77734375" bestFit="1" customWidth="1"/>
  </cols>
  <sheetData>
    <row r="1" spans="1:16" x14ac:dyDescent="0.3">
      <c r="A1" s="3" t="s">
        <v>31</v>
      </c>
      <c r="B1" t="s">
        <v>35</v>
      </c>
      <c r="E1" s="3" t="s">
        <v>31</v>
      </c>
      <c r="F1" t="s">
        <v>35</v>
      </c>
      <c r="H1" s="3" t="s">
        <v>31</v>
      </c>
      <c r="I1" t="s">
        <v>35</v>
      </c>
      <c r="K1" s="3" t="s">
        <v>31</v>
      </c>
      <c r="L1" t="s">
        <v>35</v>
      </c>
      <c r="O1" s="17" t="s">
        <v>31</v>
      </c>
      <c r="P1" s="18" t="s">
        <v>35</v>
      </c>
    </row>
    <row r="3" spans="1:16" x14ac:dyDescent="0.3">
      <c r="A3" s="3" t="s">
        <v>0</v>
      </c>
      <c r="B3" t="s">
        <v>36</v>
      </c>
      <c r="C3" t="s">
        <v>37</v>
      </c>
      <c r="E3" s="3" t="s">
        <v>0</v>
      </c>
      <c r="F3" t="s">
        <v>38</v>
      </c>
      <c r="H3" s="3" t="s">
        <v>0</v>
      </c>
      <c r="I3" t="s">
        <v>39</v>
      </c>
      <c r="K3" s="3" t="s">
        <v>0</v>
      </c>
      <c r="L3" t="s">
        <v>42</v>
      </c>
      <c r="M3" t="s">
        <v>43</v>
      </c>
      <c r="O3" s="9" t="s">
        <v>0</v>
      </c>
      <c r="P3" s="10" t="s">
        <v>49</v>
      </c>
    </row>
    <row r="4" spans="1:16" x14ac:dyDescent="0.3">
      <c r="A4" s="4">
        <v>45964</v>
      </c>
      <c r="B4" s="5">
        <v>25</v>
      </c>
      <c r="C4" s="5">
        <v>36</v>
      </c>
      <c r="E4" s="4">
        <v>45964</v>
      </c>
      <c r="F4" s="5">
        <v>29.8</v>
      </c>
      <c r="H4" s="4">
        <v>45964</v>
      </c>
      <c r="I4" s="6">
        <v>9</v>
      </c>
      <c r="K4" s="4">
        <v>45964</v>
      </c>
      <c r="L4" s="5">
        <v>1.8</v>
      </c>
      <c r="M4" s="5">
        <v>100</v>
      </c>
      <c r="O4" s="11">
        <v>45964</v>
      </c>
      <c r="P4" s="14">
        <v>44.6</v>
      </c>
    </row>
    <row r="5" spans="1:16" x14ac:dyDescent="0.3">
      <c r="A5" s="4">
        <v>45965</v>
      </c>
      <c r="B5" s="5">
        <v>23.9</v>
      </c>
      <c r="C5" s="5">
        <v>31.1</v>
      </c>
      <c r="E5" s="4">
        <v>45965</v>
      </c>
      <c r="F5" s="5">
        <v>27</v>
      </c>
      <c r="H5" s="4">
        <v>45965</v>
      </c>
      <c r="I5" s="6">
        <v>7</v>
      </c>
      <c r="K5" s="4">
        <v>45965</v>
      </c>
      <c r="L5" s="5">
        <v>0.6</v>
      </c>
      <c r="M5" s="5">
        <v>90.3</v>
      </c>
      <c r="O5" s="12">
        <v>45965</v>
      </c>
      <c r="P5" s="15">
        <v>99</v>
      </c>
    </row>
    <row r="6" spans="1:16" x14ac:dyDescent="0.3">
      <c r="A6" s="4">
        <v>45966</v>
      </c>
      <c r="B6" s="5">
        <v>24.1</v>
      </c>
      <c r="C6" s="5">
        <v>32.700000000000003</v>
      </c>
      <c r="E6" s="4">
        <v>45966</v>
      </c>
      <c r="F6" s="5">
        <v>27</v>
      </c>
      <c r="H6" s="4">
        <v>45966</v>
      </c>
      <c r="I6" s="6">
        <v>9</v>
      </c>
      <c r="K6" s="4">
        <v>45966</v>
      </c>
      <c r="L6" s="5">
        <v>14</v>
      </c>
      <c r="M6" s="5">
        <v>83.9</v>
      </c>
      <c r="O6" s="12">
        <v>45966</v>
      </c>
      <c r="P6" s="15">
        <v>85</v>
      </c>
    </row>
    <row r="7" spans="1:16" x14ac:dyDescent="0.3">
      <c r="A7" s="4">
        <v>45967</v>
      </c>
      <c r="B7" s="5">
        <v>22.8</v>
      </c>
      <c r="C7" s="5">
        <v>30.9</v>
      </c>
      <c r="E7" s="4">
        <v>45967</v>
      </c>
      <c r="F7" s="5">
        <v>26</v>
      </c>
      <c r="H7" s="4">
        <v>45967</v>
      </c>
      <c r="I7" s="6">
        <v>9</v>
      </c>
      <c r="K7" s="4">
        <v>45967</v>
      </c>
      <c r="L7" s="5">
        <v>18.3</v>
      </c>
      <c r="M7" s="5">
        <v>64.5</v>
      </c>
      <c r="O7" s="12">
        <v>45967</v>
      </c>
      <c r="P7" s="15">
        <v>87.6</v>
      </c>
    </row>
    <row r="8" spans="1:16" x14ac:dyDescent="0.3">
      <c r="A8" s="4">
        <v>45968</v>
      </c>
      <c r="B8" s="5">
        <v>22.3</v>
      </c>
      <c r="C8" s="5">
        <v>31.4</v>
      </c>
      <c r="E8" s="4">
        <v>45968</v>
      </c>
      <c r="F8" s="5">
        <v>26.2</v>
      </c>
      <c r="H8" s="4">
        <v>45968</v>
      </c>
      <c r="I8" s="6">
        <v>9</v>
      </c>
      <c r="K8" s="4">
        <v>45968</v>
      </c>
      <c r="L8" s="5">
        <v>3.2</v>
      </c>
      <c r="M8" s="5">
        <v>38.700000000000003</v>
      </c>
      <c r="O8" s="12">
        <v>45968</v>
      </c>
      <c r="P8" s="15">
        <v>39.4</v>
      </c>
    </row>
    <row r="9" spans="1:16" x14ac:dyDescent="0.3">
      <c r="A9" s="4">
        <v>45969</v>
      </c>
      <c r="B9" s="5">
        <v>22.6</v>
      </c>
      <c r="C9" s="5">
        <v>29.8</v>
      </c>
      <c r="E9" s="4">
        <v>45969</v>
      </c>
      <c r="F9" s="5">
        <v>25.7</v>
      </c>
      <c r="H9" s="4">
        <v>45969</v>
      </c>
      <c r="I9" s="6">
        <v>9</v>
      </c>
      <c r="K9" s="4">
        <v>45969</v>
      </c>
      <c r="L9" s="5">
        <v>16.100000000000001</v>
      </c>
      <c r="M9" s="5">
        <v>54.8</v>
      </c>
      <c r="O9" s="12">
        <v>45969</v>
      </c>
      <c r="P9" s="15">
        <v>42.6</v>
      </c>
    </row>
    <row r="10" spans="1:16" x14ac:dyDescent="0.3">
      <c r="A10" s="4">
        <v>45970</v>
      </c>
      <c r="B10" s="5">
        <v>23.3</v>
      </c>
      <c r="C10" s="5">
        <v>30.5</v>
      </c>
      <c r="E10" s="4">
        <v>45970</v>
      </c>
      <c r="F10" s="5">
        <v>26.1</v>
      </c>
      <c r="H10" s="4">
        <v>45970</v>
      </c>
      <c r="I10" s="6">
        <v>8</v>
      </c>
      <c r="K10" s="4">
        <v>45970</v>
      </c>
      <c r="L10" s="5">
        <v>3.4</v>
      </c>
      <c r="M10" s="5">
        <v>54.8</v>
      </c>
      <c r="O10" s="12">
        <v>45970</v>
      </c>
      <c r="P10" s="15">
        <v>90.5</v>
      </c>
    </row>
    <row r="11" spans="1:16" x14ac:dyDescent="0.3">
      <c r="A11" s="4">
        <v>45971</v>
      </c>
      <c r="B11" s="5">
        <v>21.3</v>
      </c>
      <c r="C11" s="5">
        <v>29.7</v>
      </c>
      <c r="E11" s="4">
        <v>45971</v>
      </c>
      <c r="F11" s="5">
        <v>24.9</v>
      </c>
      <c r="H11" s="4">
        <v>45971</v>
      </c>
      <c r="I11" s="6">
        <v>9</v>
      </c>
      <c r="K11" s="4">
        <v>45971</v>
      </c>
      <c r="L11" s="5">
        <v>0</v>
      </c>
      <c r="M11" s="5">
        <v>35.5</v>
      </c>
      <c r="O11" s="12">
        <v>45971</v>
      </c>
      <c r="P11" s="15">
        <v>52.6</v>
      </c>
    </row>
    <row r="12" spans="1:16" x14ac:dyDescent="0.3">
      <c r="A12" s="4">
        <v>45972</v>
      </c>
      <c r="B12" s="5">
        <v>21.5</v>
      </c>
      <c r="C12" s="5">
        <v>30.1</v>
      </c>
      <c r="E12" s="4">
        <v>45972</v>
      </c>
      <c r="F12" s="5">
        <v>25.4</v>
      </c>
      <c r="H12" s="4">
        <v>45972</v>
      </c>
      <c r="I12" s="6">
        <v>8</v>
      </c>
      <c r="K12" s="4">
        <v>45972</v>
      </c>
      <c r="L12" s="5">
        <v>0</v>
      </c>
      <c r="M12" s="5">
        <v>19.399999999999999</v>
      </c>
      <c r="O12" s="12">
        <v>45972</v>
      </c>
      <c r="P12" s="15">
        <v>58.9</v>
      </c>
    </row>
    <row r="13" spans="1:16" x14ac:dyDescent="0.3">
      <c r="A13" s="4">
        <v>45973</v>
      </c>
      <c r="B13" s="5">
        <v>21.6</v>
      </c>
      <c r="C13" s="5">
        <v>29.5</v>
      </c>
      <c r="E13" s="4">
        <v>45973</v>
      </c>
      <c r="F13" s="5">
        <v>25.1</v>
      </c>
      <c r="H13" s="4">
        <v>45973</v>
      </c>
      <c r="I13" s="6">
        <v>8</v>
      </c>
      <c r="K13" s="4">
        <v>45973</v>
      </c>
      <c r="L13" s="5">
        <v>0</v>
      </c>
      <c r="M13" s="5">
        <v>12.9</v>
      </c>
      <c r="O13" s="12">
        <v>45973</v>
      </c>
      <c r="P13" s="15">
        <v>59.6</v>
      </c>
    </row>
    <row r="14" spans="1:16" x14ac:dyDescent="0.3">
      <c r="A14" s="4">
        <v>45974</v>
      </c>
      <c r="B14" s="5">
        <v>21.5</v>
      </c>
      <c r="C14" s="5">
        <v>29.4</v>
      </c>
      <c r="E14" s="4">
        <v>45974</v>
      </c>
      <c r="F14" s="5">
        <v>24.7</v>
      </c>
      <c r="H14" s="4">
        <v>45974</v>
      </c>
      <c r="I14" s="6">
        <v>8</v>
      </c>
      <c r="K14" s="4">
        <v>45974</v>
      </c>
      <c r="L14" s="5">
        <v>0</v>
      </c>
      <c r="M14" s="5">
        <v>6.5</v>
      </c>
      <c r="O14" s="12">
        <v>45974</v>
      </c>
      <c r="P14" s="15">
        <v>72.7</v>
      </c>
    </row>
    <row r="15" spans="1:16" x14ac:dyDescent="0.3">
      <c r="A15" s="4">
        <v>45975</v>
      </c>
      <c r="B15" s="5">
        <v>21.4</v>
      </c>
      <c r="C15" s="5">
        <v>29.2</v>
      </c>
      <c r="E15" s="4">
        <v>45975</v>
      </c>
      <c r="F15" s="5">
        <v>24.5</v>
      </c>
      <c r="H15" s="4">
        <v>45975</v>
      </c>
      <c r="I15" s="6">
        <v>8</v>
      </c>
      <c r="K15" s="4">
        <v>45975</v>
      </c>
      <c r="L15" s="5">
        <v>0</v>
      </c>
      <c r="M15" s="5">
        <v>3.2</v>
      </c>
      <c r="O15" s="12">
        <v>45975</v>
      </c>
      <c r="P15" s="15">
        <v>80.599999999999994</v>
      </c>
    </row>
    <row r="16" spans="1:16" x14ac:dyDescent="0.3">
      <c r="A16" s="4">
        <v>45976</v>
      </c>
      <c r="B16" s="5">
        <v>20.6</v>
      </c>
      <c r="C16" s="5">
        <v>29.3</v>
      </c>
      <c r="E16" s="4">
        <v>45976</v>
      </c>
      <c r="F16" s="5">
        <v>24.1</v>
      </c>
      <c r="H16" s="4">
        <v>45976</v>
      </c>
      <c r="I16" s="6">
        <v>9</v>
      </c>
      <c r="K16" s="4">
        <v>45976</v>
      </c>
      <c r="L16" s="5">
        <v>0</v>
      </c>
      <c r="M16" s="5">
        <v>6.5</v>
      </c>
      <c r="O16" s="12">
        <v>45976</v>
      </c>
      <c r="P16" s="15">
        <v>56.1</v>
      </c>
    </row>
    <row r="17" spans="1:16" x14ac:dyDescent="0.3">
      <c r="A17" s="4">
        <v>45977</v>
      </c>
      <c r="B17" s="5">
        <v>20</v>
      </c>
      <c r="C17" s="5">
        <v>29.5</v>
      </c>
      <c r="E17" s="4">
        <v>45977</v>
      </c>
      <c r="F17" s="5">
        <v>23.9</v>
      </c>
      <c r="H17" s="4">
        <v>45977</v>
      </c>
      <c r="I17" s="6">
        <v>9</v>
      </c>
      <c r="K17" s="4">
        <v>45977</v>
      </c>
      <c r="L17" s="5">
        <v>0</v>
      </c>
      <c r="M17" s="5">
        <v>9.6999999999999993</v>
      </c>
      <c r="O17" s="12">
        <v>45977</v>
      </c>
      <c r="P17" s="15">
        <v>42.5</v>
      </c>
    </row>
    <row r="18" spans="1:16" x14ac:dyDescent="0.3">
      <c r="A18" s="4">
        <v>45978</v>
      </c>
      <c r="B18" s="5">
        <v>19.7</v>
      </c>
      <c r="C18" s="5">
        <v>29.3</v>
      </c>
      <c r="E18" s="4">
        <v>45978</v>
      </c>
      <c r="F18" s="5">
        <v>23.6</v>
      </c>
      <c r="H18" s="4">
        <v>45978</v>
      </c>
      <c r="I18" s="6">
        <v>9</v>
      </c>
      <c r="K18" s="4">
        <v>45978</v>
      </c>
      <c r="L18" s="5">
        <v>0</v>
      </c>
      <c r="M18" s="5">
        <v>16.100000000000001</v>
      </c>
      <c r="O18" s="13">
        <v>45978</v>
      </c>
      <c r="P18" s="16">
        <v>24.6</v>
      </c>
    </row>
    <row r="22" spans="1:16" x14ac:dyDescent="0.3">
      <c r="A22" s="3" t="s">
        <v>31</v>
      </c>
      <c r="B22" t="s">
        <v>35</v>
      </c>
      <c r="E22" s="3" t="s">
        <v>31</v>
      </c>
      <c r="F22" t="s">
        <v>35</v>
      </c>
      <c r="K22" s="3" t="s">
        <v>31</v>
      </c>
      <c r="L22" t="s">
        <v>35</v>
      </c>
    </row>
    <row r="23" spans="1:16" x14ac:dyDescent="0.3">
      <c r="N23" s="2"/>
    </row>
    <row r="24" spans="1:16" x14ac:dyDescent="0.3">
      <c r="A24" s="3" t="s">
        <v>0</v>
      </c>
      <c r="B24" t="s">
        <v>40</v>
      </c>
      <c r="E24" s="3" t="s">
        <v>0</v>
      </c>
      <c r="F24" t="s">
        <v>41</v>
      </c>
      <c r="G24" s="5">
        <f>$F$25</f>
        <v>73.8</v>
      </c>
      <c r="H24" s="6">
        <f>$I$4</f>
        <v>9</v>
      </c>
      <c r="K24" s="3" t="s">
        <v>0</v>
      </c>
      <c r="L24" t="s">
        <v>45</v>
      </c>
      <c r="M24" t="s">
        <v>44</v>
      </c>
      <c r="N24" s="2"/>
    </row>
    <row r="25" spans="1:16" x14ac:dyDescent="0.3">
      <c r="A25" s="4">
        <v>45964</v>
      </c>
      <c r="B25" s="5">
        <v>22.3</v>
      </c>
      <c r="E25" s="4">
        <v>45964</v>
      </c>
      <c r="F25" s="5">
        <v>73.8</v>
      </c>
      <c r="G25" s="5">
        <f>100-G24</f>
        <v>26.200000000000003</v>
      </c>
      <c r="H25">
        <f>10-H24</f>
        <v>1</v>
      </c>
      <c r="K25" s="4">
        <v>45964</v>
      </c>
      <c r="L25" s="2">
        <v>0.25490740740740742</v>
      </c>
      <c r="M25" s="2">
        <v>0.74333333333333329</v>
      </c>
      <c r="N25" s="7">
        <f>(HOUR($L$25)+MINUTE($L$25)/60)</f>
        <v>6.1166666666666663</v>
      </c>
      <c r="O25" s="7">
        <f>(HOUR($M$25)+MINUTE($M$25)/60)</f>
        <v>17.833333333333332</v>
      </c>
    </row>
    <row r="26" spans="1:16" x14ac:dyDescent="0.3">
      <c r="A26" s="4">
        <v>45965</v>
      </c>
      <c r="B26" s="5">
        <v>25.9</v>
      </c>
      <c r="E26" s="4">
        <v>45965</v>
      </c>
      <c r="F26" s="5">
        <v>74.599999999999994</v>
      </c>
      <c r="G26">
        <f>100</f>
        <v>100</v>
      </c>
      <c r="H26">
        <v>10</v>
      </c>
      <c r="K26" s="4">
        <v>45965</v>
      </c>
      <c r="L26" s="2">
        <v>0.25509259259259259</v>
      </c>
      <c r="M26" s="2">
        <v>0.7431712962962963</v>
      </c>
      <c r="N26" s="7">
        <f>24-N25</f>
        <v>17.883333333333333</v>
      </c>
      <c r="O26" s="7">
        <f>24-O25</f>
        <v>6.1666666666666679</v>
      </c>
    </row>
    <row r="27" spans="1:16" x14ac:dyDescent="0.3">
      <c r="A27" s="4">
        <v>45966</v>
      </c>
      <c r="B27" s="5">
        <v>17.600000000000001</v>
      </c>
      <c r="E27" s="4">
        <v>45966</v>
      </c>
      <c r="F27" s="5">
        <v>75.900000000000006</v>
      </c>
      <c r="K27" s="4">
        <v>45966</v>
      </c>
      <c r="L27" s="2">
        <v>0.25527777777777777</v>
      </c>
      <c r="M27" s="2">
        <v>0.74300925925925931</v>
      </c>
      <c r="N27" s="7">
        <f>24</f>
        <v>24</v>
      </c>
      <c r="O27">
        <f>24</f>
        <v>24</v>
      </c>
    </row>
    <row r="28" spans="1:16" x14ac:dyDescent="0.3">
      <c r="A28" s="4">
        <v>45967</v>
      </c>
      <c r="B28" s="5">
        <v>22</v>
      </c>
      <c r="E28" s="4">
        <v>45967</v>
      </c>
      <c r="F28" s="5">
        <v>78.7</v>
      </c>
      <c r="K28" s="4">
        <v>45967</v>
      </c>
      <c r="L28" s="2">
        <v>0.25547453703703704</v>
      </c>
      <c r="M28" s="2">
        <v>0.7428703703703704</v>
      </c>
    </row>
    <row r="29" spans="1:16" x14ac:dyDescent="0.3">
      <c r="A29" s="4">
        <v>45968</v>
      </c>
      <c r="B29" s="5">
        <v>21.2</v>
      </c>
      <c r="E29" s="4">
        <v>45968</v>
      </c>
      <c r="F29" s="5">
        <v>77</v>
      </c>
      <c r="K29" s="4">
        <v>45968</v>
      </c>
      <c r="L29" s="2">
        <v>0.25567129629629631</v>
      </c>
      <c r="M29" s="2">
        <v>0.74274305555555553</v>
      </c>
    </row>
    <row r="30" spans="1:16" x14ac:dyDescent="0.3">
      <c r="A30" s="4">
        <v>45969</v>
      </c>
      <c r="B30" s="5">
        <v>13.3</v>
      </c>
      <c r="E30" s="4">
        <v>45969</v>
      </c>
      <c r="F30" s="5">
        <v>80.5</v>
      </c>
      <c r="K30" s="4">
        <v>45969</v>
      </c>
      <c r="L30" s="2">
        <v>0.25587962962962962</v>
      </c>
      <c r="M30" s="2">
        <v>0.74262731481481481</v>
      </c>
    </row>
    <row r="31" spans="1:16" x14ac:dyDescent="0.3">
      <c r="A31" s="4">
        <v>45970</v>
      </c>
      <c r="B31" s="5">
        <v>13.3</v>
      </c>
      <c r="E31" s="4">
        <v>45970</v>
      </c>
      <c r="F31" s="5">
        <v>74.2</v>
      </c>
      <c r="K31" s="4">
        <v>45970</v>
      </c>
      <c r="L31" s="2">
        <v>0.25609953703703703</v>
      </c>
      <c r="M31" s="2">
        <v>0.74251157407407409</v>
      </c>
    </row>
    <row r="32" spans="1:16" x14ac:dyDescent="0.3">
      <c r="A32" s="4">
        <v>45971</v>
      </c>
      <c r="B32" s="5">
        <v>11.9</v>
      </c>
      <c r="E32" s="4">
        <v>45971</v>
      </c>
      <c r="F32" s="5">
        <v>67.8</v>
      </c>
      <c r="K32" s="4">
        <v>45971</v>
      </c>
      <c r="L32" s="2">
        <v>0.25633101851851853</v>
      </c>
      <c r="M32" s="2">
        <v>0.74241898148148144</v>
      </c>
    </row>
    <row r="33" spans="1:13" x14ac:dyDescent="0.3">
      <c r="A33" s="4">
        <v>45972</v>
      </c>
      <c r="B33" s="5">
        <v>12.6</v>
      </c>
      <c r="E33" s="4">
        <v>45972</v>
      </c>
      <c r="F33" s="5">
        <v>69.5</v>
      </c>
      <c r="K33" s="4">
        <v>45972</v>
      </c>
      <c r="L33" s="2">
        <v>0.25656250000000003</v>
      </c>
      <c r="M33" s="2">
        <v>0.74233796296296295</v>
      </c>
    </row>
    <row r="34" spans="1:13" x14ac:dyDescent="0.3">
      <c r="A34" s="4">
        <v>45973</v>
      </c>
      <c r="B34" s="5">
        <v>13</v>
      </c>
      <c r="E34" s="4">
        <v>45973</v>
      </c>
      <c r="F34" s="5">
        <v>68.5</v>
      </c>
      <c r="K34" s="4">
        <v>45973</v>
      </c>
      <c r="L34" s="2">
        <v>0.25680555555555556</v>
      </c>
      <c r="M34" s="2">
        <v>0.74226851851851849</v>
      </c>
    </row>
    <row r="35" spans="1:13" x14ac:dyDescent="0.3">
      <c r="A35" s="4">
        <v>45974</v>
      </c>
      <c r="B35" s="5">
        <v>17.600000000000001</v>
      </c>
      <c r="E35" s="4">
        <v>45974</v>
      </c>
      <c r="F35" s="5">
        <v>68.3</v>
      </c>
      <c r="K35" s="4">
        <v>45974</v>
      </c>
      <c r="L35" s="2">
        <v>0.2570486111111111</v>
      </c>
      <c r="M35" s="2">
        <v>0.74221064814814819</v>
      </c>
    </row>
    <row r="36" spans="1:13" x14ac:dyDescent="0.3">
      <c r="A36" s="4">
        <v>45975</v>
      </c>
      <c r="B36" s="5">
        <v>17.3</v>
      </c>
      <c r="E36" s="4">
        <v>45975</v>
      </c>
      <c r="F36" s="5">
        <v>67</v>
      </c>
      <c r="K36" s="4">
        <v>45975</v>
      </c>
      <c r="L36" s="2">
        <v>0.25731481481481483</v>
      </c>
      <c r="M36" s="2">
        <v>0.74217592592592596</v>
      </c>
    </row>
    <row r="37" spans="1:13" x14ac:dyDescent="0.3">
      <c r="A37" s="4">
        <v>45976</v>
      </c>
      <c r="B37" s="5">
        <v>17.3</v>
      </c>
      <c r="E37" s="4">
        <v>45976</v>
      </c>
      <c r="F37" s="5">
        <v>69.099999999999994</v>
      </c>
      <c r="K37" s="4">
        <v>45976</v>
      </c>
      <c r="L37" s="2">
        <v>0.25756944444444446</v>
      </c>
      <c r="M37" s="2">
        <v>0.74214120370370373</v>
      </c>
    </row>
    <row r="38" spans="1:13" x14ac:dyDescent="0.3">
      <c r="A38" s="4">
        <v>45977</v>
      </c>
      <c r="B38" s="5">
        <v>13.7</v>
      </c>
      <c r="E38" s="4">
        <v>45977</v>
      </c>
      <c r="F38" s="5">
        <v>68.599999999999994</v>
      </c>
      <c r="K38" s="4">
        <v>45977</v>
      </c>
      <c r="L38" s="2">
        <v>0.25784722222222223</v>
      </c>
      <c r="M38" s="2">
        <v>0.74211805555555554</v>
      </c>
    </row>
    <row r="39" spans="1:13" x14ac:dyDescent="0.3">
      <c r="A39" s="4">
        <v>45978</v>
      </c>
      <c r="B39" s="5">
        <v>15.1</v>
      </c>
      <c r="E39" s="4">
        <v>45978</v>
      </c>
      <c r="F39" s="5">
        <v>64.5</v>
      </c>
      <c r="K39" s="4">
        <v>45978</v>
      </c>
      <c r="L39" s="2">
        <v>0.25812499999999999</v>
      </c>
      <c r="M39" s="2">
        <v>0.74211805555555554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B3EBB-E5D9-4A1E-A753-BFC33926F385}">
  <sheetPr codeName="Sheet11"/>
  <dimension ref="A1"/>
  <sheetViews>
    <sheetView showGridLines="0" showRowColHeaders="0" zoomScale="77" zoomScaleNormal="77"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B5C08-8404-4B54-8F31-6BD5981111CF}">
  <sheetPr codeName="Sheet12"/>
  <dimension ref="A7"/>
  <sheetViews>
    <sheetView showGridLines="0" showRowColHeaders="0" zoomScale="77" zoomScaleNormal="77" workbookViewId="0"/>
  </sheetViews>
  <sheetFormatPr defaultRowHeight="14.4" x14ac:dyDescent="0.3"/>
  <sheetData>
    <row r="7"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9D1DF-5F1D-4FFD-A55B-FF21333E5B74}">
  <sheetPr codeName="Sheet13"/>
  <dimension ref="A7"/>
  <sheetViews>
    <sheetView showGridLines="0" showRowColHeaders="0" zoomScale="77" zoomScaleNormal="77" workbookViewId="0"/>
  </sheetViews>
  <sheetFormatPr defaultRowHeight="14.4" x14ac:dyDescent="0.3"/>
  <sheetData>
    <row r="7"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F20F-BC2A-467D-954D-E3BE9D1B1310}">
  <sheetPr codeName="Sheet14"/>
  <dimension ref="A7"/>
  <sheetViews>
    <sheetView showGridLines="0" showRowColHeaders="0" zoomScale="77" zoomScaleNormal="77" workbookViewId="0"/>
  </sheetViews>
  <sheetFormatPr defaultRowHeight="14.4" x14ac:dyDescent="0.3"/>
  <cols>
    <col min="1" max="16384" width="8.88671875" style="8"/>
  </cols>
  <sheetData>
    <row r="7" s="8" customFormat="1"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6D41-9470-4B48-8CE4-43202C5DE5BF}">
  <sheetPr codeName="Sheet15"/>
  <dimension ref="A1"/>
  <sheetViews>
    <sheetView showGridLines="0" showRowColHeaders="0" zoomScale="77" zoomScaleNormal="77"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707A7B4-1336-494B-82A0-245AEEE9E6A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Trichy</vt:lpstr>
      <vt:lpstr>Madurai</vt:lpstr>
      <vt:lpstr>Chennai</vt:lpstr>
      <vt:lpstr>Coimbatore</vt:lpstr>
      <vt:lpstr>Weather</vt:lpstr>
      <vt:lpstr>Data Preparation</vt:lpstr>
      <vt:lpstr>DPCni</vt:lpstr>
      <vt:lpstr>DPCbe</vt:lpstr>
      <vt:lpstr>DPMdi</vt:lpstr>
      <vt:lpstr>DPTri</vt:lpstr>
      <vt:lpstr>Dashboard</vt:lpstr>
      <vt:lpstr>Dbcni</vt:lpstr>
      <vt:lpstr>Dbcbe</vt:lpstr>
      <vt:lpstr>Dbmdi</vt:lpstr>
      <vt:lpstr>Dbtri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Pethal T</dc:creator>
  <cp:lastModifiedBy>Pethal T</cp:lastModifiedBy>
  <dcterms:created xsi:type="dcterms:W3CDTF">2025-10-28T14:05:28Z</dcterms:created>
  <dcterms:modified xsi:type="dcterms:W3CDTF">2025-11-03T15:15:57Z</dcterms:modified>
</cp:coreProperties>
</file>